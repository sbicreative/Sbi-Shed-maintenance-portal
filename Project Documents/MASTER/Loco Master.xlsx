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730" windowHeight="9540" activeTab="5"/>
  </bookViews>
  <sheets>
    <sheet name="summary" sheetId="10" r:id="rId1"/>
    <sheet name="Alco" sheetId="1" r:id="rId2"/>
    <sheet name="MG ALCO" sheetId="3" r:id="rId3"/>
    <sheet name="hhp" sheetId="4" r:id="rId4"/>
    <sheet name="Wag9hc" sheetId="6" r:id="rId5"/>
    <sheet name="wag12b" sheetId="8" r:id="rId6"/>
    <sheet name="wap7" sheetId="9" r:id="rId7"/>
    <sheet name="GIM" sheetId="2" r:id="rId8"/>
  </sheets>
  <definedNames>
    <definedName name="_xlnm._FilterDatabase" localSheetId="1" hidden="1">Alco!$A$2:$D$2</definedName>
    <definedName name="_xlnm._FilterDatabase" localSheetId="5" hidden="1">wag12b!$A$1:$D$131</definedName>
  </definedNames>
  <calcPr calcId="144525"/>
</workbook>
</file>

<file path=xl/calcChain.xml><?xml version="1.0" encoding="utf-8"?>
<calcChain xmlns="http://schemas.openxmlformats.org/spreadsheetml/2006/main">
  <c r="B11" i="10" l="1"/>
  <c r="H14" i="3" l="1"/>
  <c r="H13" i="3"/>
  <c r="H12" i="3"/>
  <c r="H11" i="3"/>
  <c r="H10" i="3"/>
  <c r="H9" i="3"/>
  <c r="H8" i="3"/>
  <c r="H7" i="3"/>
  <c r="H6" i="3"/>
  <c r="H5" i="3"/>
  <c r="H4" i="3"/>
  <c r="H3" i="3"/>
  <c r="J45" i="1" l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<sst xmlns="http://schemas.openxmlformats.org/spreadsheetml/2006/main" count="412" uniqueCount="130">
  <si>
    <t>SR NO.</t>
  </si>
  <si>
    <t>Loco no.</t>
  </si>
  <si>
    <t>DOC</t>
  </si>
  <si>
    <t>19 Years 8 Months</t>
  </si>
  <si>
    <t>11 Years 1 Months</t>
  </si>
  <si>
    <t>10 Years 11 Months</t>
  </si>
  <si>
    <t>10 Years 6 Months</t>
  </si>
  <si>
    <t>11 Years 0 Months</t>
  </si>
  <si>
    <t>17 Years 5 Months</t>
  </si>
  <si>
    <t>17 Years 3 Months</t>
  </si>
  <si>
    <t>16 Years 10 Months</t>
  </si>
  <si>
    <t>35 Years 11 Months</t>
  </si>
  <si>
    <t>14 Years 11 Months</t>
  </si>
  <si>
    <t>14 Years 4 Months</t>
  </si>
  <si>
    <t>Serivce life</t>
  </si>
  <si>
    <t>Alco stg loco AGE profile</t>
  </si>
  <si>
    <t>19 Years 5 Months</t>
  </si>
  <si>
    <t>19 Years 4 Months</t>
  </si>
  <si>
    <t>16 Years 7 Months</t>
  </si>
  <si>
    <t>26 Years 6 Months</t>
  </si>
  <si>
    <t>25 Years 2 Months</t>
  </si>
  <si>
    <t>37 Years 0 Months</t>
  </si>
  <si>
    <t>34 Years 0 Months</t>
  </si>
  <si>
    <t>12 Years 1 Months</t>
  </si>
  <si>
    <t xml:space="preserve">Loco No. </t>
  </si>
  <si>
    <t>SR.NO</t>
  </si>
  <si>
    <t>GIM Alco stg loco AGE profile</t>
  </si>
  <si>
    <t>MG LOCO AGE profile</t>
  </si>
  <si>
    <t>16 Years 5 Months</t>
  </si>
  <si>
    <t>16 Years 4 Months</t>
  </si>
  <si>
    <t>16 Years 1 Months</t>
  </si>
  <si>
    <t>16 Years 0 Months</t>
  </si>
  <si>
    <t>15 Years 3 Months</t>
  </si>
  <si>
    <t>15 Years 6 Months</t>
  </si>
  <si>
    <t>15 Years 2 Months</t>
  </si>
  <si>
    <t>15 Years 1 Months</t>
  </si>
  <si>
    <t>14 Years 10 Months</t>
  </si>
  <si>
    <t>15 Years 0 Months</t>
  </si>
  <si>
    <t>14 Years 8 Months</t>
  </si>
  <si>
    <t>13 Years 10 Months</t>
  </si>
  <si>
    <t>13 Years 9 Months</t>
  </si>
  <si>
    <t>13 Years 8 Months</t>
  </si>
  <si>
    <t>13 Years 0 Months</t>
  </si>
  <si>
    <t>12 Years 8 Months</t>
  </si>
  <si>
    <t>9 Years 10 Months</t>
  </si>
  <si>
    <t>11 Years 5 Months</t>
  </si>
  <si>
    <t>11 Years 3 Months</t>
  </si>
  <si>
    <t>10 Years 7 Months</t>
  </si>
  <si>
    <t>10 Years 3 Months</t>
  </si>
  <si>
    <t>9 Years 9 Months</t>
  </si>
  <si>
    <t>9 Years 7 Months</t>
  </si>
  <si>
    <t>9 Years 5 Months</t>
  </si>
  <si>
    <t>9 Years 6 Months</t>
  </si>
  <si>
    <t>8 Years 9 Months</t>
  </si>
  <si>
    <t>8 Years 6 Months</t>
  </si>
  <si>
    <t>8 Years 10 Months</t>
  </si>
  <si>
    <t>9 Years 4 Months</t>
  </si>
  <si>
    <t>7 Years 9 Months</t>
  </si>
  <si>
    <t>7 Years 5 Months</t>
  </si>
  <si>
    <t>HHP LOCO AGE profile</t>
  </si>
  <si>
    <t>11 Years 3 month</t>
  </si>
  <si>
    <t>11 Years 2 month</t>
  </si>
  <si>
    <t>11 Years 1 month</t>
  </si>
  <si>
    <t>17 Years 6 month</t>
  </si>
  <si>
    <t>36 Years 1 month</t>
  </si>
  <si>
    <t>40 Years 3 month</t>
  </si>
  <si>
    <t>19 Years 8 month</t>
  </si>
  <si>
    <t>17 Years 11 month</t>
  </si>
  <si>
    <t>11 Years 6 month</t>
  </si>
  <si>
    <t>11 Years 4 month</t>
  </si>
  <si>
    <t>17 Years 7 month</t>
  </si>
  <si>
    <t>17 Years 0 month</t>
  </si>
  <si>
    <t>36 Years 2 month</t>
  </si>
  <si>
    <t>14 Years 6 month</t>
  </si>
  <si>
    <t>13 Years 4 month</t>
  </si>
  <si>
    <t>WAG9HC</t>
  </si>
  <si>
    <t>Loco</t>
  </si>
  <si>
    <t>19 Years 11 month</t>
  </si>
  <si>
    <t>19 Years 9 month</t>
  </si>
  <si>
    <t>18 Years 6 month</t>
  </si>
  <si>
    <t>18 Years 2 month</t>
  </si>
  <si>
    <t>18 Years 0 month</t>
  </si>
  <si>
    <t>12 Years 9 month</t>
  </si>
  <si>
    <t>11 Years 7 month</t>
  </si>
  <si>
    <t>11 Years 5 month</t>
  </si>
  <si>
    <t>10 Years 10 month</t>
  </si>
  <si>
    <t>17 Years 8 month</t>
  </si>
  <si>
    <t>17 Years 3 month</t>
  </si>
  <si>
    <t>17 Years 1 month</t>
  </si>
  <si>
    <t>37 Years 2 month</t>
  </si>
  <si>
    <t>36 Years 3 month</t>
  </si>
  <si>
    <t>15 Years 2 month</t>
  </si>
  <si>
    <t>14 Years 7 month</t>
  </si>
  <si>
    <t>13 Years 5 month</t>
  </si>
  <si>
    <t>12 Years 4 month</t>
  </si>
  <si>
    <t>11 Years 10 month</t>
  </si>
  <si>
    <t>6 Years 9 month</t>
  </si>
  <si>
    <t>53 Years 0 month</t>
  </si>
  <si>
    <t>49 Years 6 month</t>
  </si>
  <si>
    <t>48 Years 11 month</t>
  </si>
  <si>
    <t>40 Years 6 month</t>
  </si>
  <si>
    <t>40 Years 4 month</t>
  </si>
  <si>
    <t>36 Years 8 month</t>
  </si>
  <si>
    <t>36 Years 6 month</t>
  </si>
  <si>
    <t>35 Years 0 month</t>
  </si>
  <si>
    <t>34 Years 0 month</t>
  </si>
  <si>
    <t>WAG12B</t>
  </si>
  <si>
    <t>SR.NO.</t>
  </si>
  <si>
    <t>TYPE</t>
  </si>
  <si>
    <t>WAP7</t>
  </si>
  <si>
    <t>SR.no</t>
  </si>
  <si>
    <t xml:space="preserve">Loco no. </t>
  </si>
  <si>
    <t>Type</t>
  </si>
  <si>
    <t>type</t>
  </si>
  <si>
    <t>WDG4</t>
  </si>
  <si>
    <t>WDG4D</t>
  </si>
  <si>
    <t>WDP4B</t>
  </si>
  <si>
    <t>WDP4D</t>
  </si>
  <si>
    <t>WDG5</t>
  </si>
  <si>
    <t>Total holding</t>
  </si>
  <si>
    <t>Loco holding</t>
  </si>
  <si>
    <t>DIESEL HHP</t>
  </si>
  <si>
    <t>(27 wdg4+01 wdg4d+07 wdg5+ 03 wdp4b + 19 wdp4d)</t>
  </si>
  <si>
    <t>(20 WDM3A + 08 WDG3A+ 12 WDS6 + 01 WDS 6G + 02 WDM2G)</t>
  </si>
  <si>
    <t>sr.no.</t>
  </si>
  <si>
    <t>(34 wag9hc + 09 wap7 + 130 wag12b)</t>
  </si>
  <si>
    <t>Alco</t>
  </si>
  <si>
    <t>WAG9</t>
  </si>
  <si>
    <t>WAG12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</si>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</sst>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4CC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14" fontId="0" fillId="0" borderId="2" xfId="0" applyNumberFormat="1" applyFont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0" fillId="3" borderId="2" xfId="1" applyFont="1" applyFill="1" applyBorder="1" applyAlignment="1">
      <alignment horizontal="center" wrapText="1"/>
    </xf>
    <xf numFmtId="0" fontId="0" fillId="0" borderId="2" xfId="0" applyBorder="1"/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4" fontId="2" fillId="3" borderId="5" xfId="0" applyNumberFormat="1" applyFont="1" applyFill="1" applyBorder="1" applyAlignment="1">
      <alignment horizontal="center" wrapText="1"/>
    </xf>
    <xf numFmtId="14" fontId="2" fillId="3" borderId="2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center"/>
    </xf>
    <xf numFmtId="14" fontId="0" fillId="0" borderId="2" xfId="0" applyNumberFormat="1" applyBorder="1"/>
    <xf numFmtId="14" fontId="0" fillId="0" borderId="0" xfId="0" applyNumberFormat="1"/>
    <xf numFmtId="2" fontId="0" fillId="0" borderId="0" xfId="0" applyNumberFormat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8" fillId="7" borderId="9" xfId="0" applyFont="1" applyFill="1" applyBorder="1" applyAlignment="1">
      <alignment horizontal="center" wrapText="1"/>
    </xf>
    <xf numFmtId="0" fontId="8" fillId="7" borderId="11" xfId="0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14" fontId="9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10" fillId="8" borderId="8" xfId="0" applyFont="1" applyFill="1" applyBorder="1" applyAlignment="1">
      <alignment horizontal="center" wrapText="1"/>
    </xf>
    <xf numFmtId="0" fontId="7" fillId="7" borderId="9" xfId="0" applyFont="1" applyFill="1" applyBorder="1" applyAlignment="1">
      <alignment horizontal="center" wrapText="1"/>
    </xf>
    <xf numFmtId="14" fontId="2" fillId="0" borderId="9" xfId="0" applyNumberFormat="1" applyFont="1" applyBorder="1" applyAlignment="1">
      <alignment horizontal="center" wrapText="1"/>
    </xf>
    <xf numFmtId="0" fontId="10" fillId="8" borderId="10" xfId="0" applyFont="1" applyFill="1" applyBorder="1" applyAlignment="1">
      <alignment horizontal="center" wrapText="1"/>
    </xf>
    <xf numFmtId="0" fontId="7" fillId="7" borderId="11" xfId="0" applyFont="1" applyFill="1" applyBorder="1" applyAlignment="1">
      <alignment horizontal="center" wrapText="1"/>
    </xf>
    <xf numFmtId="14" fontId="2" fillId="0" borderId="11" xfId="0" applyNumberFormat="1" applyFont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14" fontId="8" fillId="7" borderId="2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6"/>
  <sheetViews>
    <sheetView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65.140625" customWidth="1"/>
  </cols>
  <sheetData>
    <row r="4" spans="1:2" x14ac:dyDescent="0.25">
      <c r="A4" s="1" t="s">
        <v>113</v>
      </c>
      <c r="B4" s="1" t="s">
        <v>120</v>
      </c>
    </row>
    <row r="5" spans="1:2" x14ac:dyDescent="0.25">
      <c r="A5" s="1" t="s">
        <v>129</v>
      </c>
      <c r="B5" s="1">
        <v>12</v>
      </c>
    </row>
    <row r="6" spans="1:2" x14ac:dyDescent="0.25">
      <c r="A6" s="1" t="s">
        <v>126</v>
      </c>
      <c r="B6" s="1">
        <v>43</v>
      </c>
    </row>
    <row r="7" spans="1:2" x14ac:dyDescent="0.25">
      <c r="A7" s="1" t="s">
        <v>121</v>
      </c>
      <c r="B7" s="1">
        <v>57</v>
      </c>
    </row>
    <row r="8" spans="1:2" x14ac:dyDescent="0.25">
      <c r="A8" s="1" t="s">
        <v>127</v>
      </c>
      <c r="B8" s="1">
        <v>34</v>
      </c>
    </row>
    <row r="9" spans="1:2" x14ac:dyDescent="0.25">
      <c r="A9" s="1" t="s">
        <v>109</v>
      </c>
      <c r="B9" s="1">
        <v>9</v>
      </c>
    </row>
    <row r="10" spans="1:2" x14ac:dyDescent="0.25">
      <c r="A10" s="1" t="s">
        <v>128</v>
      </c>
      <c r="B10" s="1">
        <v>130</v>
      </c>
    </row>
    <row r="11" spans="1:2" x14ac:dyDescent="0.25">
      <c r="A11" s="1" t="s">
        <v>119</v>
      </c>
      <c r="B11" s="1">
        <f>SUM(B5:B10)</f>
        <v>285</v>
      </c>
    </row>
    <row r="14" spans="1:2" x14ac:dyDescent="0.25">
      <c r="A14" t="s">
        <v>123</v>
      </c>
    </row>
    <row r="15" spans="1:2" x14ac:dyDescent="0.25">
      <c r="A15" t="s">
        <v>122</v>
      </c>
    </row>
    <row r="16" spans="1:2" x14ac:dyDescent="0.25">
      <c r="A16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opLeftCell="A25" workbookViewId="0">
      <selection activeCell="F45" sqref="F45"/>
    </sheetView>
  </sheetViews>
  <sheetFormatPr defaultRowHeight="15" x14ac:dyDescent="0.25"/>
  <cols>
    <col min="3" max="3" width="16" customWidth="1"/>
    <col min="4" max="4" width="25.5703125" customWidth="1"/>
    <col min="6" max="6" width="17.140625" customWidth="1"/>
    <col min="8" max="8" width="31.7109375" customWidth="1"/>
  </cols>
  <sheetData>
    <row r="1" spans="1:15" x14ac:dyDescent="0.25">
      <c r="A1" s="48" t="s">
        <v>15</v>
      </c>
      <c r="B1" s="48"/>
      <c r="C1" s="48"/>
      <c r="D1" s="48"/>
    </row>
    <row r="2" spans="1:15" x14ac:dyDescent="0.25">
      <c r="A2" s="1" t="s">
        <v>0</v>
      </c>
      <c r="B2" s="2" t="s">
        <v>1</v>
      </c>
      <c r="C2" s="2" t="s">
        <v>2</v>
      </c>
      <c r="D2" s="8" t="s">
        <v>14</v>
      </c>
    </row>
    <row r="3" spans="1:15" x14ac:dyDescent="0.25">
      <c r="A3" s="3">
        <v>1</v>
      </c>
      <c r="B3" s="4">
        <v>11125</v>
      </c>
      <c r="C3" s="5">
        <v>38863</v>
      </c>
      <c r="D3" t="s">
        <v>77</v>
      </c>
      <c r="F3" s="22">
        <v>46143</v>
      </c>
      <c r="H3" t="str">
        <f>DATEDIF(C3,F3,"Y")&amp;" Years "&amp;DATEDIF(C3,F3,"YM")&amp;" month"</f>
        <v>19 Years 11 month</v>
      </c>
      <c r="J3">
        <f>F3-C3</f>
        <v>7280</v>
      </c>
      <c r="K3" s="23">
        <f>J3/365</f>
        <v>19.945205479452056</v>
      </c>
      <c r="N3" s="24">
        <v>11131</v>
      </c>
      <c r="O3" s="8" t="s">
        <v>66</v>
      </c>
    </row>
    <row r="4" spans="1:15" x14ac:dyDescent="0.25">
      <c r="A4" s="3">
        <v>2</v>
      </c>
      <c r="B4" s="6">
        <v>11131</v>
      </c>
      <c r="C4" s="5">
        <v>38912</v>
      </c>
      <c r="D4" t="s">
        <v>78</v>
      </c>
      <c r="F4" s="22">
        <v>46143</v>
      </c>
      <c r="H4" t="str">
        <f t="shared" ref="H4:H45" si="0">DATEDIF(C4,F4,"Y")&amp;" Years "&amp;DATEDIF(C4,F4,"YM")&amp;" month"</f>
        <v>19 Years 9 month</v>
      </c>
      <c r="J4">
        <f t="shared" ref="J4:J45" si="1">F4-C4</f>
        <v>7231</v>
      </c>
      <c r="K4" s="23">
        <f t="shared" ref="K4:K45" si="2">J4/365</f>
        <v>19.81095890410959</v>
      </c>
      <c r="N4" s="25">
        <v>11245</v>
      </c>
      <c r="O4" s="8" t="s">
        <v>67</v>
      </c>
    </row>
    <row r="5" spans="1:15" x14ac:dyDescent="0.25">
      <c r="A5" s="3">
        <v>3</v>
      </c>
      <c r="B5" s="4">
        <v>11211</v>
      </c>
      <c r="C5" s="5">
        <v>39378</v>
      </c>
      <c r="D5" t="s">
        <v>79</v>
      </c>
      <c r="F5" s="22">
        <v>46143</v>
      </c>
      <c r="H5" t="str">
        <f t="shared" si="0"/>
        <v>18 Years 6 month</v>
      </c>
      <c r="J5">
        <f t="shared" si="1"/>
        <v>6765</v>
      </c>
      <c r="K5" s="23">
        <f t="shared" si="2"/>
        <v>18.534246575342465</v>
      </c>
      <c r="N5" s="25">
        <v>11527</v>
      </c>
      <c r="O5" s="8" t="s">
        <v>68</v>
      </c>
    </row>
    <row r="6" spans="1:15" x14ac:dyDescent="0.25">
      <c r="A6" s="3">
        <v>4</v>
      </c>
      <c r="B6" s="4">
        <v>11229</v>
      </c>
      <c r="C6" s="5">
        <v>39503</v>
      </c>
      <c r="D6" t="s">
        <v>80</v>
      </c>
      <c r="F6" s="22">
        <v>46143</v>
      </c>
      <c r="H6" t="str">
        <f t="shared" si="0"/>
        <v>18 Years 2 month</v>
      </c>
      <c r="J6">
        <f t="shared" si="1"/>
        <v>6640</v>
      </c>
      <c r="K6" s="23">
        <f t="shared" si="2"/>
        <v>18.19178082191781</v>
      </c>
      <c r="N6" s="25">
        <v>11539</v>
      </c>
      <c r="O6" s="8" t="s">
        <v>69</v>
      </c>
    </row>
    <row r="7" spans="1:15" x14ac:dyDescent="0.25">
      <c r="A7" s="3">
        <v>5</v>
      </c>
      <c r="B7" s="4">
        <v>11245</v>
      </c>
      <c r="C7" s="5">
        <v>39562</v>
      </c>
      <c r="D7" t="s">
        <v>81</v>
      </c>
      <c r="F7" s="22">
        <v>46143</v>
      </c>
      <c r="H7" t="str">
        <f t="shared" si="0"/>
        <v>18 Years 0 month</v>
      </c>
      <c r="J7">
        <f t="shared" si="1"/>
        <v>6581</v>
      </c>
      <c r="K7" s="23">
        <f t="shared" si="2"/>
        <v>18.030136986301368</v>
      </c>
      <c r="N7" s="26">
        <v>11563</v>
      </c>
      <c r="O7" s="8" t="s">
        <v>60</v>
      </c>
    </row>
    <row r="8" spans="1:15" x14ac:dyDescent="0.25">
      <c r="A8" s="3">
        <v>6</v>
      </c>
      <c r="B8" s="4">
        <v>11414</v>
      </c>
      <c r="C8" s="5">
        <v>41246</v>
      </c>
      <c r="D8" t="s">
        <v>74</v>
      </c>
      <c r="F8" s="22">
        <v>46143</v>
      </c>
      <c r="H8" t="str">
        <f t="shared" si="0"/>
        <v>13 Years 4 month</v>
      </c>
      <c r="J8">
        <f t="shared" si="1"/>
        <v>4897</v>
      </c>
      <c r="K8" s="23">
        <f t="shared" si="2"/>
        <v>13.416438356164383</v>
      </c>
      <c r="N8" s="25">
        <v>13454</v>
      </c>
      <c r="O8" s="8" t="s">
        <v>70</v>
      </c>
    </row>
    <row r="9" spans="1:15" x14ac:dyDescent="0.25">
      <c r="A9" s="3">
        <v>7</v>
      </c>
      <c r="B9" s="7">
        <v>11415</v>
      </c>
      <c r="C9" s="5">
        <v>41247</v>
      </c>
      <c r="D9" t="s">
        <v>74</v>
      </c>
      <c r="F9" s="22">
        <v>46143</v>
      </c>
      <c r="H9" t="str">
        <f t="shared" si="0"/>
        <v>13 Years 4 month</v>
      </c>
      <c r="J9">
        <f t="shared" si="1"/>
        <v>4896</v>
      </c>
      <c r="K9" s="23">
        <f t="shared" si="2"/>
        <v>13.413698630136986</v>
      </c>
      <c r="N9" s="26">
        <v>13462</v>
      </c>
      <c r="O9" s="8" t="s">
        <v>63</v>
      </c>
    </row>
    <row r="10" spans="1:15" x14ac:dyDescent="0.25">
      <c r="A10" s="3">
        <v>8</v>
      </c>
      <c r="B10" s="7">
        <v>11416</v>
      </c>
      <c r="C10" s="5">
        <v>41257</v>
      </c>
      <c r="D10" t="s">
        <v>74</v>
      </c>
      <c r="F10" s="22">
        <v>46143</v>
      </c>
      <c r="H10" t="str">
        <f t="shared" si="0"/>
        <v>13 Years 4 month</v>
      </c>
      <c r="J10">
        <f t="shared" si="1"/>
        <v>4886</v>
      </c>
      <c r="K10" s="23">
        <f t="shared" si="2"/>
        <v>13.386301369863014</v>
      </c>
      <c r="N10" s="24">
        <v>13526</v>
      </c>
      <c r="O10" s="8" t="s">
        <v>71</v>
      </c>
    </row>
    <row r="11" spans="1:15" x14ac:dyDescent="0.25">
      <c r="A11" s="3">
        <v>9</v>
      </c>
      <c r="B11" s="4">
        <v>11417</v>
      </c>
      <c r="C11" s="5">
        <v>41261</v>
      </c>
      <c r="D11" t="s">
        <v>74</v>
      </c>
      <c r="F11" s="22">
        <v>46143</v>
      </c>
      <c r="H11" t="str">
        <f t="shared" si="0"/>
        <v>13 Years 4 month</v>
      </c>
      <c r="J11">
        <f t="shared" si="1"/>
        <v>4882</v>
      </c>
      <c r="K11" s="23">
        <f t="shared" si="2"/>
        <v>13.375342465753425</v>
      </c>
      <c r="N11" s="26">
        <v>36174</v>
      </c>
      <c r="O11" s="8" t="s">
        <v>72</v>
      </c>
    </row>
    <row r="12" spans="1:15" x14ac:dyDescent="0.25">
      <c r="A12" s="3">
        <v>10</v>
      </c>
      <c r="B12" s="4">
        <v>11423</v>
      </c>
      <c r="C12" s="5">
        <v>41270</v>
      </c>
      <c r="D12" t="s">
        <v>74</v>
      </c>
      <c r="F12" s="22">
        <v>46143</v>
      </c>
      <c r="H12" t="str">
        <f t="shared" si="0"/>
        <v>13 Years 4 month</v>
      </c>
      <c r="J12">
        <f t="shared" si="1"/>
        <v>4873</v>
      </c>
      <c r="K12" s="23">
        <f t="shared" si="2"/>
        <v>13.35068493150685</v>
      </c>
      <c r="N12" s="27">
        <v>36265</v>
      </c>
      <c r="O12" s="8" t="s">
        <v>73</v>
      </c>
    </row>
    <row r="13" spans="1:15" x14ac:dyDescent="0.25">
      <c r="A13" s="3">
        <v>11</v>
      </c>
      <c r="B13" s="4">
        <v>11463</v>
      </c>
      <c r="C13" s="5">
        <v>41470</v>
      </c>
      <c r="D13" t="s">
        <v>82</v>
      </c>
      <c r="F13" s="22">
        <v>46143</v>
      </c>
      <c r="H13" t="str">
        <f t="shared" si="0"/>
        <v>12 Years 9 month</v>
      </c>
      <c r="J13">
        <f t="shared" si="1"/>
        <v>4673</v>
      </c>
      <c r="K13" s="23">
        <f t="shared" si="2"/>
        <v>12.802739726027397</v>
      </c>
      <c r="N13" s="28">
        <v>80000</v>
      </c>
    </row>
    <row r="14" spans="1:15" x14ac:dyDescent="0.25">
      <c r="A14" s="3">
        <v>12</v>
      </c>
      <c r="B14" s="4">
        <v>11527</v>
      </c>
      <c r="C14" s="5">
        <v>41905</v>
      </c>
      <c r="D14" t="s">
        <v>83</v>
      </c>
      <c r="F14" s="22">
        <v>46143</v>
      </c>
      <c r="H14" t="str">
        <f t="shared" si="0"/>
        <v>11 Years 7 month</v>
      </c>
      <c r="J14">
        <f t="shared" si="1"/>
        <v>4238</v>
      </c>
      <c r="K14" s="23">
        <f t="shared" si="2"/>
        <v>11.610958904109589</v>
      </c>
      <c r="N14" s="28">
        <v>80001</v>
      </c>
    </row>
    <row r="15" spans="1:15" x14ac:dyDescent="0.25">
      <c r="A15" s="3">
        <v>13</v>
      </c>
      <c r="B15" s="4">
        <v>11539</v>
      </c>
      <c r="C15" s="5">
        <v>41962</v>
      </c>
      <c r="D15" t="s">
        <v>84</v>
      </c>
      <c r="F15" s="22">
        <v>46143</v>
      </c>
      <c r="H15" t="str">
        <f t="shared" si="0"/>
        <v>11 Years 5 month</v>
      </c>
      <c r="J15">
        <f t="shared" si="1"/>
        <v>4181</v>
      </c>
      <c r="K15" s="23">
        <f t="shared" si="2"/>
        <v>11.454794520547946</v>
      </c>
      <c r="N15" s="28">
        <v>80002</v>
      </c>
    </row>
    <row r="16" spans="1:15" x14ac:dyDescent="0.25">
      <c r="A16" s="3">
        <v>14</v>
      </c>
      <c r="B16" s="4">
        <v>11540</v>
      </c>
      <c r="C16" s="5">
        <v>41997</v>
      </c>
      <c r="D16" t="s">
        <v>69</v>
      </c>
      <c r="F16" s="22">
        <v>46143</v>
      </c>
      <c r="H16" t="str">
        <f t="shared" si="0"/>
        <v>11 Years 4 month</v>
      </c>
      <c r="J16">
        <f t="shared" si="1"/>
        <v>4146</v>
      </c>
      <c r="K16" s="23">
        <f t="shared" si="2"/>
        <v>11.358904109589041</v>
      </c>
    </row>
    <row r="17" spans="1:11" x14ac:dyDescent="0.25">
      <c r="A17" s="3">
        <v>15</v>
      </c>
      <c r="B17" s="4">
        <v>11541</v>
      </c>
      <c r="C17" s="5">
        <v>42047</v>
      </c>
      <c r="D17" t="s">
        <v>61</v>
      </c>
      <c r="F17" s="22">
        <v>46143</v>
      </c>
      <c r="H17" t="str">
        <f t="shared" si="0"/>
        <v>11 Years 2 month</v>
      </c>
      <c r="J17">
        <f t="shared" si="1"/>
        <v>4096</v>
      </c>
      <c r="K17" s="23">
        <f t="shared" si="2"/>
        <v>11.221917808219178</v>
      </c>
    </row>
    <row r="18" spans="1:11" x14ac:dyDescent="0.25">
      <c r="A18" s="3">
        <v>16</v>
      </c>
      <c r="B18" s="4">
        <v>11542</v>
      </c>
      <c r="C18" s="5">
        <v>42065</v>
      </c>
      <c r="D18" t="s">
        <v>62</v>
      </c>
      <c r="F18" s="22">
        <v>46143</v>
      </c>
      <c r="H18" t="str">
        <f t="shared" si="0"/>
        <v>11 Years 1 month</v>
      </c>
      <c r="J18">
        <f t="shared" si="1"/>
        <v>4078</v>
      </c>
      <c r="K18" s="23">
        <f t="shared" si="2"/>
        <v>11.172602739726027</v>
      </c>
    </row>
    <row r="19" spans="1:11" x14ac:dyDescent="0.25">
      <c r="A19" s="3">
        <v>17</v>
      </c>
      <c r="B19" s="4">
        <v>11543</v>
      </c>
      <c r="C19" s="5">
        <v>42090</v>
      </c>
      <c r="D19" t="s">
        <v>62</v>
      </c>
      <c r="F19" s="22">
        <v>46143</v>
      </c>
      <c r="H19" t="str">
        <f t="shared" si="0"/>
        <v>11 Years 1 month</v>
      </c>
      <c r="J19">
        <f t="shared" si="1"/>
        <v>4053</v>
      </c>
      <c r="K19" s="23">
        <f t="shared" si="2"/>
        <v>11.104109589041096</v>
      </c>
    </row>
    <row r="20" spans="1:11" x14ac:dyDescent="0.25">
      <c r="A20" s="3">
        <v>18</v>
      </c>
      <c r="B20" s="4">
        <v>11544</v>
      </c>
      <c r="C20" s="5">
        <v>42186</v>
      </c>
      <c r="D20" t="s">
        <v>85</v>
      </c>
      <c r="F20" s="22">
        <v>46143</v>
      </c>
      <c r="H20" t="str">
        <f t="shared" si="0"/>
        <v>10 Years 10 month</v>
      </c>
      <c r="J20">
        <f t="shared" si="1"/>
        <v>3957</v>
      </c>
      <c r="K20" s="23">
        <f t="shared" si="2"/>
        <v>10.841095890410958</v>
      </c>
    </row>
    <row r="21" spans="1:11" x14ac:dyDescent="0.25">
      <c r="A21" s="3">
        <v>19</v>
      </c>
      <c r="B21" s="4">
        <v>11563</v>
      </c>
      <c r="C21" s="5">
        <v>41994</v>
      </c>
      <c r="D21" t="s">
        <v>69</v>
      </c>
      <c r="F21" s="22">
        <v>46143</v>
      </c>
      <c r="H21" t="str">
        <f t="shared" si="0"/>
        <v>11 Years 4 month</v>
      </c>
      <c r="J21">
        <f t="shared" si="1"/>
        <v>4149</v>
      </c>
      <c r="K21" s="23">
        <f t="shared" si="2"/>
        <v>11.367123287671232</v>
      </c>
    </row>
    <row r="22" spans="1:11" x14ac:dyDescent="0.25">
      <c r="A22" s="3">
        <v>20</v>
      </c>
      <c r="B22" s="4">
        <v>11564</v>
      </c>
      <c r="C22" s="5">
        <v>42017</v>
      </c>
      <c r="D22" t="s">
        <v>60</v>
      </c>
      <c r="F22" s="22">
        <v>46143</v>
      </c>
      <c r="H22" t="str">
        <f t="shared" si="0"/>
        <v>11 Years 3 month</v>
      </c>
      <c r="J22">
        <f t="shared" si="1"/>
        <v>4126</v>
      </c>
      <c r="K22" s="23">
        <f t="shared" si="2"/>
        <v>11.304109589041095</v>
      </c>
    </row>
    <row r="23" spans="1:11" x14ac:dyDescent="0.25">
      <c r="A23" s="3">
        <v>21</v>
      </c>
      <c r="B23" s="4">
        <v>13399</v>
      </c>
      <c r="C23" s="5">
        <v>39481</v>
      </c>
      <c r="D23" t="s">
        <v>80</v>
      </c>
      <c r="F23" s="22">
        <v>46143</v>
      </c>
      <c r="H23" t="str">
        <f t="shared" si="0"/>
        <v>18 Years 2 month</v>
      </c>
      <c r="J23">
        <f t="shared" si="1"/>
        <v>6662</v>
      </c>
      <c r="K23" s="23">
        <f t="shared" si="2"/>
        <v>18.252054794520546</v>
      </c>
    </row>
    <row r="24" spans="1:11" x14ac:dyDescent="0.25">
      <c r="A24" s="3">
        <v>22</v>
      </c>
      <c r="B24" s="4">
        <v>13454</v>
      </c>
      <c r="C24" s="5">
        <v>39663</v>
      </c>
      <c r="D24" t="s">
        <v>86</v>
      </c>
      <c r="F24" s="22">
        <v>46143</v>
      </c>
      <c r="H24" t="str">
        <f t="shared" si="0"/>
        <v>17 Years 8 month</v>
      </c>
      <c r="J24">
        <f t="shared" si="1"/>
        <v>6480</v>
      </c>
      <c r="K24" s="23">
        <f t="shared" si="2"/>
        <v>17.753424657534246</v>
      </c>
    </row>
    <row r="25" spans="1:11" x14ac:dyDescent="0.25">
      <c r="A25" s="3">
        <v>23</v>
      </c>
      <c r="B25" s="4">
        <v>13461</v>
      </c>
      <c r="C25" s="5">
        <v>39680</v>
      </c>
      <c r="D25" t="s">
        <v>86</v>
      </c>
      <c r="F25" s="22">
        <v>46143</v>
      </c>
      <c r="H25" t="str">
        <f t="shared" si="0"/>
        <v>17 Years 8 month</v>
      </c>
      <c r="J25">
        <f t="shared" si="1"/>
        <v>6463</v>
      </c>
      <c r="K25" s="23">
        <f t="shared" si="2"/>
        <v>17.706849315068492</v>
      </c>
    </row>
    <row r="26" spans="1:11" x14ac:dyDescent="0.25">
      <c r="A26" s="3">
        <v>24</v>
      </c>
      <c r="B26" s="4">
        <v>13462</v>
      </c>
      <c r="C26" s="5">
        <v>39693</v>
      </c>
      <c r="D26" t="s">
        <v>70</v>
      </c>
      <c r="F26" s="22">
        <v>46143</v>
      </c>
      <c r="H26" t="str">
        <f t="shared" si="0"/>
        <v>17 Years 7 month</v>
      </c>
      <c r="J26">
        <f t="shared" si="1"/>
        <v>6450</v>
      </c>
      <c r="K26" s="23">
        <f t="shared" si="2"/>
        <v>17.671232876712327</v>
      </c>
    </row>
    <row r="27" spans="1:11" x14ac:dyDescent="0.25">
      <c r="A27" s="3">
        <v>25</v>
      </c>
      <c r="B27" s="4">
        <v>13473</v>
      </c>
      <c r="C27" s="5">
        <v>39739</v>
      </c>
      <c r="D27" t="s">
        <v>63</v>
      </c>
      <c r="F27" s="22">
        <v>46143</v>
      </c>
      <c r="H27" t="str">
        <f t="shared" si="0"/>
        <v>17 Years 6 month</v>
      </c>
      <c r="J27">
        <f t="shared" si="1"/>
        <v>6404</v>
      </c>
      <c r="K27" s="23">
        <f t="shared" si="2"/>
        <v>17.545205479452054</v>
      </c>
    </row>
    <row r="28" spans="1:11" x14ac:dyDescent="0.25">
      <c r="A28" s="3">
        <v>26</v>
      </c>
      <c r="B28" s="4">
        <v>13484</v>
      </c>
      <c r="C28" s="5">
        <v>39752</v>
      </c>
      <c r="D28" t="s">
        <v>63</v>
      </c>
      <c r="F28" s="22">
        <v>46143</v>
      </c>
      <c r="H28" t="str">
        <f t="shared" si="0"/>
        <v>17 Years 6 month</v>
      </c>
      <c r="J28">
        <f t="shared" si="1"/>
        <v>6391</v>
      </c>
      <c r="K28" s="23">
        <f t="shared" si="2"/>
        <v>17.509589041095889</v>
      </c>
    </row>
    <row r="29" spans="1:11" x14ac:dyDescent="0.25">
      <c r="A29" s="3">
        <v>27</v>
      </c>
      <c r="B29" s="4">
        <v>13516</v>
      </c>
      <c r="C29" s="5">
        <v>39840</v>
      </c>
      <c r="D29" t="s">
        <v>87</v>
      </c>
      <c r="F29" s="22">
        <v>46143</v>
      </c>
      <c r="H29" t="str">
        <f t="shared" si="0"/>
        <v>17 Years 3 month</v>
      </c>
      <c r="J29">
        <f t="shared" si="1"/>
        <v>6303</v>
      </c>
      <c r="K29" s="23">
        <f t="shared" si="2"/>
        <v>17.268493150684932</v>
      </c>
    </row>
    <row r="30" spans="1:11" x14ac:dyDescent="0.25">
      <c r="A30" s="3">
        <v>28</v>
      </c>
      <c r="B30" s="4">
        <v>13526</v>
      </c>
      <c r="C30" s="5">
        <v>39882</v>
      </c>
      <c r="D30" t="s">
        <v>88</v>
      </c>
      <c r="F30" s="22">
        <v>46143</v>
      </c>
      <c r="H30" t="str">
        <f t="shared" si="0"/>
        <v>17 Years 1 month</v>
      </c>
      <c r="J30">
        <f t="shared" si="1"/>
        <v>6261</v>
      </c>
      <c r="K30" s="23">
        <f t="shared" si="2"/>
        <v>17.153424657534245</v>
      </c>
    </row>
    <row r="31" spans="1:11" x14ac:dyDescent="0.25">
      <c r="A31" s="3">
        <v>29</v>
      </c>
      <c r="B31" s="2">
        <v>36154</v>
      </c>
      <c r="C31" s="5">
        <v>32563</v>
      </c>
      <c r="D31" t="s">
        <v>89</v>
      </c>
      <c r="F31" s="22">
        <v>46143</v>
      </c>
      <c r="H31" t="str">
        <f t="shared" si="0"/>
        <v>37 Years 2 month</v>
      </c>
      <c r="J31">
        <f t="shared" si="1"/>
        <v>13580</v>
      </c>
      <c r="K31" s="23">
        <f t="shared" si="2"/>
        <v>37.205479452054796</v>
      </c>
    </row>
    <row r="32" spans="1:11" x14ac:dyDescent="0.25">
      <c r="A32" s="3">
        <v>30</v>
      </c>
      <c r="B32" s="4">
        <v>36164</v>
      </c>
      <c r="C32" s="5">
        <v>32913</v>
      </c>
      <c r="D32" t="s">
        <v>72</v>
      </c>
      <c r="F32" s="22">
        <v>46143</v>
      </c>
      <c r="H32" t="str">
        <f t="shared" si="0"/>
        <v>36 Years 2 month</v>
      </c>
      <c r="J32">
        <f t="shared" si="1"/>
        <v>13230</v>
      </c>
      <c r="K32" s="23">
        <f t="shared" si="2"/>
        <v>36.246575342465754</v>
      </c>
    </row>
    <row r="33" spans="1:11" x14ac:dyDescent="0.25">
      <c r="A33" s="3">
        <v>31</v>
      </c>
      <c r="B33" s="4">
        <v>36166</v>
      </c>
      <c r="C33" s="5">
        <v>32950</v>
      </c>
      <c r="D33" t="s">
        <v>64</v>
      </c>
      <c r="F33" s="22">
        <v>46143</v>
      </c>
      <c r="H33" t="str">
        <f t="shared" si="0"/>
        <v>36 Years 1 month</v>
      </c>
      <c r="J33">
        <f t="shared" si="1"/>
        <v>13193</v>
      </c>
      <c r="K33" s="23">
        <f t="shared" si="2"/>
        <v>36.145205479452052</v>
      </c>
    </row>
    <row r="34" spans="1:11" x14ac:dyDescent="0.25">
      <c r="A34" s="3">
        <v>32</v>
      </c>
      <c r="B34" s="4">
        <v>36174</v>
      </c>
      <c r="C34" s="5">
        <v>32903</v>
      </c>
      <c r="D34" t="s">
        <v>90</v>
      </c>
      <c r="F34" s="22">
        <v>46143</v>
      </c>
      <c r="H34" t="str">
        <f t="shared" si="0"/>
        <v>36 Years 3 month</v>
      </c>
      <c r="J34">
        <f t="shared" si="1"/>
        <v>13240</v>
      </c>
      <c r="K34" s="23">
        <f t="shared" si="2"/>
        <v>36.273972602739725</v>
      </c>
    </row>
    <row r="35" spans="1:11" x14ac:dyDescent="0.25">
      <c r="A35" s="3">
        <v>33</v>
      </c>
      <c r="B35" s="4">
        <v>36255</v>
      </c>
      <c r="C35" s="5">
        <v>40587</v>
      </c>
      <c r="D35" t="s">
        <v>91</v>
      </c>
      <c r="F35" s="22">
        <v>46143</v>
      </c>
      <c r="H35" t="str">
        <f t="shared" si="0"/>
        <v>15 Years 2 month</v>
      </c>
      <c r="J35">
        <f t="shared" si="1"/>
        <v>5556</v>
      </c>
      <c r="K35" s="23">
        <f t="shared" si="2"/>
        <v>15.221917808219178</v>
      </c>
    </row>
    <row r="36" spans="1:11" x14ac:dyDescent="0.25">
      <c r="A36" s="3">
        <v>34</v>
      </c>
      <c r="B36" s="4">
        <v>36256</v>
      </c>
      <c r="C36" s="5">
        <v>40581</v>
      </c>
      <c r="D36" t="s">
        <v>91</v>
      </c>
      <c r="F36" s="22">
        <v>46143</v>
      </c>
      <c r="H36" t="str">
        <f t="shared" si="0"/>
        <v>15 Years 2 month</v>
      </c>
      <c r="J36">
        <f t="shared" si="1"/>
        <v>5562</v>
      </c>
      <c r="K36" s="23">
        <f t="shared" si="2"/>
        <v>15.238356164383562</v>
      </c>
    </row>
    <row r="37" spans="1:11" x14ac:dyDescent="0.25">
      <c r="A37" s="3">
        <v>35</v>
      </c>
      <c r="B37" s="4">
        <v>36257</v>
      </c>
      <c r="C37" s="5">
        <v>40582</v>
      </c>
      <c r="D37" t="s">
        <v>91</v>
      </c>
      <c r="F37" s="22">
        <v>46143</v>
      </c>
      <c r="H37" t="str">
        <f t="shared" si="0"/>
        <v>15 Years 2 month</v>
      </c>
      <c r="J37">
        <f t="shared" si="1"/>
        <v>5561</v>
      </c>
      <c r="K37" s="23">
        <f t="shared" si="2"/>
        <v>15.235616438356164</v>
      </c>
    </row>
    <row r="38" spans="1:11" x14ac:dyDescent="0.25">
      <c r="A38" s="3">
        <v>36</v>
      </c>
      <c r="B38" s="4">
        <v>36264</v>
      </c>
      <c r="C38" s="5">
        <v>40601</v>
      </c>
      <c r="D38" t="s">
        <v>91</v>
      </c>
      <c r="F38" s="22">
        <v>46143</v>
      </c>
      <c r="H38" t="str">
        <f t="shared" si="0"/>
        <v>15 Years 2 month</v>
      </c>
      <c r="J38">
        <f t="shared" si="1"/>
        <v>5542</v>
      </c>
      <c r="K38" s="23">
        <f t="shared" si="2"/>
        <v>15.183561643835617</v>
      </c>
    </row>
    <row r="39" spans="1:11" x14ac:dyDescent="0.25">
      <c r="A39" s="3">
        <v>37</v>
      </c>
      <c r="B39" s="4">
        <v>36265</v>
      </c>
      <c r="C39" s="5">
        <v>40788</v>
      </c>
      <c r="D39" t="s">
        <v>92</v>
      </c>
      <c r="F39" s="22">
        <v>46143</v>
      </c>
      <c r="H39" t="str">
        <f t="shared" si="0"/>
        <v>14 Years 7 month</v>
      </c>
      <c r="J39">
        <f t="shared" si="1"/>
        <v>5355</v>
      </c>
      <c r="K39" s="23">
        <f t="shared" si="2"/>
        <v>14.671232876712329</v>
      </c>
    </row>
    <row r="40" spans="1:11" x14ac:dyDescent="0.25">
      <c r="A40" s="3">
        <v>38</v>
      </c>
      <c r="B40" s="4">
        <v>36274</v>
      </c>
      <c r="C40" s="5">
        <v>41233</v>
      </c>
      <c r="D40" t="s">
        <v>93</v>
      </c>
      <c r="F40" s="22">
        <v>46143</v>
      </c>
      <c r="H40" t="str">
        <f t="shared" si="0"/>
        <v>13 Years 5 month</v>
      </c>
      <c r="J40">
        <f t="shared" si="1"/>
        <v>4910</v>
      </c>
      <c r="K40" s="23">
        <f t="shared" si="2"/>
        <v>13.452054794520548</v>
      </c>
    </row>
    <row r="41" spans="1:11" x14ac:dyDescent="0.25">
      <c r="A41" s="3">
        <v>39</v>
      </c>
      <c r="B41" s="4">
        <v>36506</v>
      </c>
      <c r="C41" s="5">
        <v>40815</v>
      </c>
      <c r="D41" t="s">
        <v>92</v>
      </c>
      <c r="F41" s="22">
        <v>46143</v>
      </c>
      <c r="H41" t="str">
        <f t="shared" si="0"/>
        <v>14 Years 7 month</v>
      </c>
      <c r="J41">
        <f t="shared" si="1"/>
        <v>5328</v>
      </c>
      <c r="K41" s="23">
        <f t="shared" si="2"/>
        <v>14.597260273972603</v>
      </c>
    </row>
    <row r="42" spans="1:11" x14ac:dyDescent="0.25">
      <c r="A42" s="3">
        <v>40</v>
      </c>
      <c r="B42" s="4">
        <v>36507</v>
      </c>
      <c r="C42" s="5">
        <v>40790</v>
      </c>
      <c r="D42" t="s">
        <v>92</v>
      </c>
      <c r="F42" s="22">
        <v>46143</v>
      </c>
      <c r="H42" t="str">
        <f t="shared" si="0"/>
        <v>14 Years 7 month</v>
      </c>
      <c r="J42">
        <f t="shared" si="1"/>
        <v>5353</v>
      </c>
      <c r="K42" s="23">
        <f t="shared" si="2"/>
        <v>14.665753424657535</v>
      </c>
    </row>
    <row r="43" spans="1:11" x14ac:dyDescent="0.25">
      <c r="A43" s="3">
        <v>41</v>
      </c>
      <c r="B43" s="4">
        <v>80000</v>
      </c>
      <c r="C43" s="5">
        <v>41618</v>
      </c>
      <c r="D43" t="s">
        <v>94</v>
      </c>
      <c r="F43" s="22">
        <v>46143</v>
      </c>
      <c r="H43" t="str">
        <f t="shared" si="0"/>
        <v>12 Years 4 month</v>
      </c>
      <c r="J43">
        <f t="shared" si="1"/>
        <v>4525</v>
      </c>
      <c r="K43" s="23">
        <f t="shared" si="2"/>
        <v>12.397260273972602</v>
      </c>
    </row>
    <row r="44" spans="1:11" x14ac:dyDescent="0.25">
      <c r="A44" s="3">
        <v>42</v>
      </c>
      <c r="B44" s="4">
        <v>80001</v>
      </c>
      <c r="C44" s="5">
        <v>41799</v>
      </c>
      <c r="D44" t="s">
        <v>95</v>
      </c>
      <c r="F44" s="22">
        <v>46143</v>
      </c>
      <c r="H44" t="str">
        <f t="shared" si="0"/>
        <v>11 Years 10 month</v>
      </c>
      <c r="J44">
        <f t="shared" si="1"/>
        <v>4344</v>
      </c>
      <c r="K44" s="23">
        <f t="shared" si="2"/>
        <v>11.901369863013699</v>
      </c>
    </row>
    <row r="45" spans="1:11" x14ac:dyDescent="0.25">
      <c r="A45" s="3">
        <v>43</v>
      </c>
      <c r="B45" s="4">
        <v>80002</v>
      </c>
      <c r="C45" s="5">
        <v>43678</v>
      </c>
      <c r="D45" t="s">
        <v>96</v>
      </c>
      <c r="F45" s="22">
        <v>46143</v>
      </c>
      <c r="H45" t="str">
        <f t="shared" si="0"/>
        <v>6 Years 9 month</v>
      </c>
      <c r="J45">
        <f t="shared" si="1"/>
        <v>2465</v>
      </c>
      <c r="K45" s="23">
        <f t="shared" si="2"/>
        <v>6.7534246575342465</v>
      </c>
    </row>
  </sheetData>
  <autoFilter ref="A2:D2">
    <sortState ref="A3:D45">
      <sortCondition ref="A2"/>
    </sortState>
  </autoFilter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E24" sqref="E24"/>
    </sheetView>
  </sheetViews>
  <sheetFormatPr defaultRowHeight="15" x14ac:dyDescent="0.25"/>
  <cols>
    <col min="3" max="3" width="10.42578125" bestFit="1" customWidth="1"/>
    <col min="4" max="4" width="18" bestFit="1" customWidth="1"/>
    <col min="7" max="7" width="10.42578125" bestFit="1" customWidth="1"/>
    <col min="8" max="8" width="18.7109375" customWidth="1"/>
  </cols>
  <sheetData>
    <row r="1" spans="1:8" x14ac:dyDescent="0.25">
      <c r="A1" s="48" t="s">
        <v>27</v>
      </c>
      <c r="B1" s="48"/>
      <c r="C1" s="48"/>
      <c r="D1" s="48"/>
    </row>
    <row r="2" spans="1:8" x14ac:dyDescent="0.25">
      <c r="A2" s="15" t="s">
        <v>25</v>
      </c>
      <c r="B2" s="16" t="s">
        <v>24</v>
      </c>
      <c r="C2" s="16" t="s">
        <v>2</v>
      </c>
      <c r="D2" s="15" t="s">
        <v>14</v>
      </c>
    </row>
    <row r="3" spans="1:8" x14ac:dyDescent="0.25">
      <c r="A3" s="1">
        <v>1</v>
      </c>
      <c r="B3" s="13">
        <v>6338</v>
      </c>
      <c r="C3" s="14">
        <v>26767</v>
      </c>
      <c r="D3" s="8" t="s">
        <v>97</v>
      </c>
      <c r="G3" s="22">
        <v>46143</v>
      </c>
      <c r="H3" t="str">
        <f>DATEDIF(C3,G3,"Y")&amp;" Years "&amp;DATEDIF(C3,G3,"YM")&amp;" month"</f>
        <v>53 Years 0 month</v>
      </c>
    </row>
    <row r="4" spans="1:8" x14ac:dyDescent="0.25">
      <c r="A4" s="1">
        <v>2</v>
      </c>
      <c r="B4" s="13">
        <v>6394</v>
      </c>
      <c r="C4" s="14">
        <v>28056</v>
      </c>
      <c r="D4" s="8" t="s">
        <v>98</v>
      </c>
      <c r="G4" s="22">
        <v>46143</v>
      </c>
      <c r="H4" t="str">
        <f t="shared" ref="H4:H14" si="0">DATEDIF(C4,G4,"Y")&amp;" Years "&amp;DATEDIF(C4,G4,"YM")&amp;" month"</f>
        <v>49 Years 6 month</v>
      </c>
    </row>
    <row r="5" spans="1:8" x14ac:dyDescent="0.25">
      <c r="A5" s="1">
        <v>3</v>
      </c>
      <c r="B5" s="13">
        <v>6402</v>
      </c>
      <c r="C5" s="14">
        <v>28267</v>
      </c>
      <c r="D5" s="8" t="s">
        <v>99</v>
      </c>
      <c r="G5" s="22">
        <v>46143</v>
      </c>
      <c r="H5" t="str">
        <f t="shared" si="0"/>
        <v>48 Years 11 month</v>
      </c>
    </row>
    <row r="6" spans="1:8" x14ac:dyDescent="0.25">
      <c r="A6" s="1">
        <v>4</v>
      </c>
      <c r="B6" s="13">
        <v>6557</v>
      </c>
      <c r="C6" s="14">
        <v>31333</v>
      </c>
      <c r="D6" s="8" t="s">
        <v>100</v>
      </c>
      <c r="G6" s="22">
        <v>46143</v>
      </c>
      <c r="H6" t="str">
        <f t="shared" si="0"/>
        <v>40 Years 6 month</v>
      </c>
    </row>
    <row r="7" spans="1:8" x14ac:dyDescent="0.25">
      <c r="A7" s="1">
        <v>5</v>
      </c>
      <c r="B7" s="13">
        <v>6560</v>
      </c>
      <c r="C7" s="14">
        <v>31392</v>
      </c>
      <c r="D7" s="8" t="s">
        <v>101</v>
      </c>
      <c r="G7" s="22">
        <v>46143</v>
      </c>
      <c r="H7" t="str">
        <f t="shared" si="0"/>
        <v>40 Years 4 month</v>
      </c>
    </row>
    <row r="8" spans="1:8" x14ac:dyDescent="0.25">
      <c r="A8" s="1">
        <v>6</v>
      </c>
      <c r="B8" s="13">
        <v>6563</v>
      </c>
      <c r="C8" s="14">
        <v>31400</v>
      </c>
      <c r="D8" s="8" t="s">
        <v>101</v>
      </c>
      <c r="G8" s="22">
        <v>46143</v>
      </c>
      <c r="H8" t="str">
        <f t="shared" si="0"/>
        <v>40 Years 4 month</v>
      </c>
    </row>
    <row r="9" spans="1:8" x14ac:dyDescent="0.25">
      <c r="A9" s="1">
        <v>7</v>
      </c>
      <c r="B9" s="13">
        <v>6565</v>
      </c>
      <c r="C9" s="14">
        <v>31421</v>
      </c>
      <c r="D9" s="8" t="s">
        <v>65</v>
      </c>
      <c r="G9" s="22">
        <v>46143</v>
      </c>
      <c r="H9" t="str">
        <f t="shared" si="0"/>
        <v>40 Years 3 month</v>
      </c>
    </row>
    <row r="10" spans="1:8" x14ac:dyDescent="0.25">
      <c r="A10" s="1">
        <v>8</v>
      </c>
      <c r="B10" s="13">
        <v>6654</v>
      </c>
      <c r="C10" s="14">
        <v>32746</v>
      </c>
      <c r="D10" s="8" t="s">
        <v>102</v>
      </c>
      <c r="G10" s="22">
        <v>46143</v>
      </c>
      <c r="H10" t="str">
        <f t="shared" si="0"/>
        <v>36 Years 8 month</v>
      </c>
    </row>
    <row r="11" spans="1:8" x14ac:dyDescent="0.25">
      <c r="A11" s="1">
        <v>9</v>
      </c>
      <c r="B11" s="13">
        <v>6660</v>
      </c>
      <c r="C11" s="14">
        <v>32796</v>
      </c>
      <c r="D11" s="8" t="s">
        <v>103</v>
      </c>
      <c r="G11" s="22">
        <v>46143</v>
      </c>
      <c r="H11" t="str">
        <f t="shared" si="0"/>
        <v>36 Years 6 month</v>
      </c>
    </row>
    <row r="12" spans="1:8" x14ac:dyDescent="0.25">
      <c r="A12" s="1">
        <v>10</v>
      </c>
      <c r="B12" s="13">
        <v>6666</v>
      </c>
      <c r="C12" s="14">
        <v>32961</v>
      </c>
      <c r="D12" s="8" t="s">
        <v>64</v>
      </c>
      <c r="G12" s="22">
        <v>46143</v>
      </c>
      <c r="H12" t="str">
        <f t="shared" si="0"/>
        <v>36 Years 1 month</v>
      </c>
    </row>
    <row r="13" spans="1:8" x14ac:dyDescent="0.25">
      <c r="A13" s="1">
        <v>11</v>
      </c>
      <c r="B13" s="13">
        <v>6692</v>
      </c>
      <c r="C13" s="14">
        <v>33338</v>
      </c>
      <c r="D13" s="8" t="s">
        <v>104</v>
      </c>
      <c r="G13" s="22">
        <v>46143</v>
      </c>
      <c r="H13" t="str">
        <f t="shared" si="0"/>
        <v>35 Years 0 month</v>
      </c>
    </row>
    <row r="14" spans="1:8" x14ac:dyDescent="0.25">
      <c r="A14" s="1">
        <v>12</v>
      </c>
      <c r="B14" s="13">
        <v>6720</v>
      </c>
      <c r="C14" s="14">
        <v>33705</v>
      </c>
      <c r="D14" s="8" t="s">
        <v>105</v>
      </c>
      <c r="G14" s="22">
        <v>46143</v>
      </c>
      <c r="H14" t="str">
        <f t="shared" si="0"/>
        <v>34 Years 0 month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opLeftCell="A37" workbookViewId="0">
      <selection activeCell="G59" sqref="G59"/>
    </sheetView>
  </sheetViews>
  <sheetFormatPr defaultRowHeight="15" x14ac:dyDescent="0.25"/>
  <cols>
    <col min="4" max="4" width="11" customWidth="1"/>
    <col min="5" max="5" width="18" bestFit="1" customWidth="1"/>
  </cols>
  <sheetData>
    <row r="1" spans="1:5" x14ac:dyDescent="0.25">
      <c r="A1" s="48" t="s">
        <v>59</v>
      </c>
      <c r="B1" s="48"/>
      <c r="C1" s="48"/>
      <c r="D1" s="48"/>
      <c r="E1" s="48"/>
    </row>
    <row r="2" spans="1:5" x14ac:dyDescent="0.25">
      <c r="A2" s="15" t="s">
        <v>25</v>
      </c>
      <c r="B2" s="16" t="s">
        <v>24</v>
      </c>
      <c r="C2" s="16" t="s">
        <v>113</v>
      </c>
      <c r="D2" s="16" t="s">
        <v>2</v>
      </c>
      <c r="E2" s="15" t="s">
        <v>14</v>
      </c>
    </row>
    <row r="3" spans="1:5" x14ac:dyDescent="0.25">
      <c r="A3" s="1">
        <v>1</v>
      </c>
      <c r="B3" s="17">
        <v>12230</v>
      </c>
      <c r="C3" s="17" t="s">
        <v>114</v>
      </c>
      <c r="D3" s="14">
        <v>40045</v>
      </c>
      <c r="E3" s="21" t="s">
        <v>28</v>
      </c>
    </row>
    <row r="4" spans="1:5" x14ac:dyDescent="0.25">
      <c r="A4" s="1">
        <v>2</v>
      </c>
      <c r="B4" s="18">
        <v>12232</v>
      </c>
      <c r="C4" s="17" t="s">
        <v>114</v>
      </c>
      <c r="D4" s="14">
        <v>40074</v>
      </c>
      <c r="E4" s="21" t="s">
        <v>29</v>
      </c>
    </row>
    <row r="5" spans="1:5" x14ac:dyDescent="0.25">
      <c r="A5" s="1">
        <v>3</v>
      </c>
      <c r="B5" s="18">
        <v>12245</v>
      </c>
      <c r="C5" s="17" t="s">
        <v>114</v>
      </c>
      <c r="D5" s="14">
        <v>40061</v>
      </c>
      <c r="E5" s="21" t="s">
        <v>29</v>
      </c>
    </row>
    <row r="6" spans="1:5" x14ac:dyDescent="0.25">
      <c r="A6" s="1">
        <v>4</v>
      </c>
      <c r="B6" s="18">
        <v>12252</v>
      </c>
      <c r="C6" s="17" t="s">
        <v>114</v>
      </c>
      <c r="D6" s="14">
        <v>40158</v>
      </c>
      <c r="E6" s="21" t="s">
        <v>30</v>
      </c>
    </row>
    <row r="7" spans="1:5" x14ac:dyDescent="0.25">
      <c r="A7" s="1">
        <v>5</v>
      </c>
      <c r="B7" s="18">
        <v>12288</v>
      </c>
      <c r="C7" s="17" t="s">
        <v>114</v>
      </c>
      <c r="D7" s="14">
        <v>40184</v>
      </c>
      <c r="E7" s="21" t="s">
        <v>31</v>
      </c>
    </row>
    <row r="8" spans="1:5" x14ac:dyDescent="0.25">
      <c r="A8" s="1">
        <v>6</v>
      </c>
      <c r="B8" s="18">
        <v>12321</v>
      </c>
      <c r="C8" s="17" t="s">
        <v>114</v>
      </c>
      <c r="D8" s="14">
        <v>40463</v>
      </c>
      <c r="E8" s="21" t="s">
        <v>32</v>
      </c>
    </row>
    <row r="9" spans="1:5" x14ac:dyDescent="0.25">
      <c r="A9" s="1">
        <v>7</v>
      </c>
      <c r="B9" s="18">
        <v>12322</v>
      </c>
      <c r="C9" s="17" t="s">
        <v>114</v>
      </c>
      <c r="D9" s="14">
        <v>40387</v>
      </c>
      <c r="E9" s="21" t="s">
        <v>33</v>
      </c>
    </row>
    <row r="10" spans="1:5" x14ac:dyDescent="0.25">
      <c r="A10" s="1">
        <v>8</v>
      </c>
      <c r="B10" s="18">
        <v>12323</v>
      </c>
      <c r="C10" s="17" t="s">
        <v>114</v>
      </c>
      <c r="D10" s="14">
        <v>40370</v>
      </c>
      <c r="E10" s="21" t="s">
        <v>33</v>
      </c>
    </row>
    <row r="11" spans="1:5" x14ac:dyDescent="0.25">
      <c r="A11" s="1">
        <v>9</v>
      </c>
      <c r="B11" s="18">
        <v>12332</v>
      </c>
      <c r="C11" s="17" t="s">
        <v>114</v>
      </c>
      <c r="D11" s="14">
        <v>40461</v>
      </c>
      <c r="E11" s="21" t="s">
        <v>32</v>
      </c>
    </row>
    <row r="12" spans="1:5" x14ac:dyDescent="0.25">
      <c r="A12" s="1">
        <v>10</v>
      </c>
      <c r="B12" s="18">
        <v>12333</v>
      </c>
      <c r="C12" s="17" t="s">
        <v>114</v>
      </c>
      <c r="D12" s="14">
        <v>40508</v>
      </c>
      <c r="E12" s="21" t="s">
        <v>34</v>
      </c>
    </row>
    <row r="13" spans="1:5" x14ac:dyDescent="0.25">
      <c r="A13" s="1">
        <v>11</v>
      </c>
      <c r="B13" s="18">
        <v>12334</v>
      </c>
      <c r="C13" s="17" t="s">
        <v>114</v>
      </c>
      <c r="D13" s="14">
        <v>40493</v>
      </c>
      <c r="E13" s="21" t="s">
        <v>34</v>
      </c>
    </row>
    <row r="14" spans="1:5" x14ac:dyDescent="0.25">
      <c r="A14" s="1">
        <v>12</v>
      </c>
      <c r="B14" s="18">
        <v>12337</v>
      </c>
      <c r="C14" s="17" t="s">
        <v>114</v>
      </c>
      <c r="D14" s="14">
        <v>40486</v>
      </c>
      <c r="E14" s="21" t="s">
        <v>34</v>
      </c>
    </row>
    <row r="15" spans="1:5" x14ac:dyDescent="0.25">
      <c r="A15" s="1">
        <v>13</v>
      </c>
      <c r="B15" s="18">
        <v>12343</v>
      </c>
      <c r="C15" s="17" t="s">
        <v>114</v>
      </c>
      <c r="D15" s="14">
        <v>40514</v>
      </c>
      <c r="E15" s="21" t="s">
        <v>35</v>
      </c>
    </row>
    <row r="16" spans="1:5" x14ac:dyDescent="0.25">
      <c r="A16" s="1">
        <v>14</v>
      </c>
      <c r="B16" s="18">
        <v>12344</v>
      </c>
      <c r="C16" s="17" t="s">
        <v>114</v>
      </c>
      <c r="D16" s="14">
        <v>40522</v>
      </c>
      <c r="E16" s="21" t="s">
        <v>35</v>
      </c>
    </row>
    <row r="17" spans="1:5" x14ac:dyDescent="0.25">
      <c r="A17" s="1">
        <v>15</v>
      </c>
      <c r="B17" s="18">
        <v>12345</v>
      </c>
      <c r="C17" s="17" t="s">
        <v>114</v>
      </c>
      <c r="D17" s="14">
        <v>40603</v>
      </c>
      <c r="E17" s="21" t="s">
        <v>36</v>
      </c>
    </row>
    <row r="18" spans="1:5" x14ac:dyDescent="0.25">
      <c r="A18" s="1">
        <v>16</v>
      </c>
      <c r="B18" s="18">
        <v>12348</v>
      </c>
      <c r="C18" s="17" t="s">
        <v>114</v>
      </c>
      <c r="D18" s="14">
        <v>40531</v>
      </c>
      <c r="E18" s="21" t="s">
        <v>35</v>
      </c>
    </row>
    <row r="19" spans="1:5" x14ac:dyDescent="0.25">
      <c r="A19" s="1">
        <v>17</v>
      </c>
      <c r="B19" s="18">
        <v>12358</v>
      </c>
      <c r="C19" s="17" t="s">
        <v>114</v>
      </c>
      <c r="D19" s="14">
        <v>40549</v>
      </c>
      <c r="E19" s="21" t="s">
        <v>37</v>
      </c>
    </row>
    <row r="20" spans="1:5" x14ac:dyDescent="0.25">
      <c r="A20" s="1">
        <v>18</v>
      </c>
      <c r="B20" s="18">
        <v>12362</v>
      </c>
      <c r="C20" s="17" t="s">
        <v>114</v>
      </c>
      <c r="D20" s="14">
        <v>40551</v>
      </c>
      <c r="E20" s="21" t="s">
        <v>37</v>
      </c>
    </row>
    <row r="21" spans="1:5" x14ac:dyDescent="0.25">
      <c r="A21" s="1">
        <v>19</v>
      </c>
      <c r="B21" s="18">
        <v>12364</v>
      </c>
      <c r="C21" s="17" t="s">
        <v>114</v>
      </c>
      <c r="D21" s="14">
        <v>40575</v>
      </c>
      <c r="E21" s="21" t="s">
        <v>12</v>
      </c>
    </row>
    <row r="22" spans="1:5" x14ac:dyDescent="0.25">
      <c r="A22" s="1">
        <v>20</v>
      </c>
      <c r="B22" s="18">
        <v>12366</v>
      </c>
      <c r="C22" s="17" t="s">
        <v>114</v>
      </c>
      <c r="D22" s="14">
        <v>40575</v>
      </c>
      <c r="E22" s="21" t="s">
        <v>12</v>
      </c>
    </row>
    <row r="23" spans="1:5" x14ac:dyDescent="0.25">
      <c r="A23" s="1">
        <v>21</v>
      </c>
      <c r="B23" s="18">
        <v>12374</v>
      </c>
      <c r="C23" s="17" t="s">
        <v>114</v>
      </c>
      <c r="D23" s="14">
        <v>40608</v>
      </c>
      <c r="E23" s="21" t="s">
        <v>36</v>
      </c>
    </row>
    <row r="24" spans="1:5" x14ac:dyDescent="0.25">
      <c r="A24" s="1">
        <v>22</v>
      </c>
      <c r="B24" s="18">
        <v>12413</v>
      </c>
      <c r="C24" s="17" t="s">
        <v>114</v>
      </c>
      <c r="D24" s="14">
        <v>40674</v>
      </c>
      <c r="E24" s="21" t="s">
        <v>38</v>
      </c>
    </row>
    <row r="25" spans="1:5" x14ac:dyDescent="0.25">
      <c r="A25" s="1">
        <v>23</v>
      </c>
      <c r="B25" s="18">
        <v>12531</v>
      </c>
      <c r="C25" s="17" t="s">
        <v>114</v>
      </c>
      <c r="D25" s="14">
        <v>40985</v>
      </c>
      <c r="E25" s="21" t="s">
        <v>39</v>
      </c>
    </row>
    <row r="26" spans="1:5" x14ac:dyDescent="0.25">
      <c r="A26" s="1">
        <v>24</v>
      </c>
      <c r="B26" s="18">
        <v>12534</v>
      </c>
      <c r="C26" s="17" t="s">
        <v>114</v>
      </c>
      <c r="D26" s="14">
        <v>41001</v>
      </c>
      <c r="E26" s="21" t="s">
        <v>40</v>
      </c>
    </row>
    <row r="27" spans="1:5" x14ac:dyDescent="0.25">
      <c r="A27" s="1">
        <v>25</v>
      </c>
      <c r="B27" s="18">
        <v>12561</v>
      </c>
      <c r="C27" s="17" t="s">
        <v>114</v>
      </c>
      <c r="D27" s="14">
        <v>41030</v>
      </c>
      <c r="E27" s="21" t="s">
        <v>41</v>
      </c>
    </row>
    <row r="28" spans="1:5" x14ac:dyDescent="0.25">
      <c r="A28" s="1">
        <v>26</v>
      </c>
      <c r="B28" s="18">
        <v>12708</v>
      </c>
      <c r="C28" s="17" t="s">
        <v>114</v>
      </c>
      <c r="D28" s="14">
        <v>41276</v>
      </c>
      <c r="E28" s="21" t="s">
        <v>42</v>
      </c>
    </row>
    <row r="29" spans="1:5" x14ac:dyDescent="0.25">
      <c r="A29" s="1">
        <v>27</v>
      </c>
      <c r="B29" s="18">
        <v>12768</v>
      </c>
      <c r="C29" s="17" t="s">
        <v>114</v>
      </c>
      <c r="D29" s="14">
        <v>41397</v>
      </c>
      <c r="E29" s="21" t="s">
        <v>43</v>
      </c>
    </row>
    <row r="30" spans="1:5" x14ac:dyDescent="0.25">
      <c r="A30" s="1">
        <v>28</v>
      </c>
      <c r="B30" s="18">
        <v>70446</v>
      </c>
      <c r="C30" s="17" t="s">
        <v>115</v>
      </c>
      <c r="D30" s="14">
        <v>42447</v>
      </c>
      <c r="E30" s="21" t="s">
        <v>44</v>
      </c>
    </row>
    <row r="31" spans="1:5" x14ac:dyDescent="0.25">
      <c r="A31" s="1">
        <v>29</v>
      </c>
      <c r="B31" s="18">
        <v>40041</v>
      </c>
      <c r="C31" s="18" t="s">
        <v>116</v>
      </c>
      <c r="D31" s="14">
        <v>40606</v>
      </c>
      <c r="E31" s="21" t="s">
        <v>36</v>
      </c>
    </row>
    <row r="32" spans="1:5" x14ac:dyDescent="0.25">
      <c r="A32" s="1">
        <v>30</v>
      </c>
      <c r="B32" s="18">
        <v>40061</v>
      </c>
      <c r="C32" s="18" t="s">
        <v>116</v>
      </c>
      <c r="D32" s="14">
        <v>40787</v>
      </c>
      <c r="E32" s="21" t="s">
        <v>13</v>
      </c>
    </row>
    <row r="33" spans="1:5" x14ac:dyDescent="0.25">
      <c r="A33" s="1">
        <v>31</v>
      </c>
      <c r="B33" s="18">
        <v>40062</v>
      </c>
      <c r="C33" s="18" t="s">
        <v>116</v>
      </c>
      <c r="D33" s="14">
        <v>40792</v>
      </c>
      <c r="E33" s="21" t="s">
        <v>13</v>
      </c>
    </row>
    <row r="34" spans="1:5" x14ac:dyDescent="0.25">
      <c r="A34" s="1">
        <v>32</v>
      </c>
      <c r="B34" s="18">
        <v>40163</v>
      </c>
      <c r="C34" s="18" t="s">
        <v>117</v>
      </c>
      <c r="D34" s="14">
        <v>41635</v>
      </c>
      <c r="E34" s="21" t="s">
        <v>23</v>
      </c>
    </row>
    <row r="35" spans="1:5" x14ac:dyDescent="0.25">
      <c r="A35" s="1">
        <v>33</v>
      </c>
      <c r="B35" s="18">
        <v>40167</v>
      </c>
      <c r="C35" s="18" t="s">
        <v>117</v>
      </c>
      <c r="D35" s="14">
        <v>41628</v>
      </c>
      <c r="E35" s="21" t="s">
        <v>23</v>
      </c>
    </row>
    <row r="36" spans="1:5" x14ac:dyDescent="0.25">
      <c r="A36" s="1">
        <v>34</v>
      </c>
      <c r="B36" s="18">
        <v>40177</v>
      </c>
      <c r="C36" s="18" t="s">
        <v>117</v>
      </c>
      <c r="D36" s="14">
        <v>41852</v>
      </c>
      <c r="E36" s="21" t="s">
        <v>45</v>
      </c>
    </row>
    <row r="37" spans="1:5" x14ac:dyDescent="0.25">
      <c r="A37" s="1">
        <v>35</v>
      </c>
      <c r="B37" s="18">
        <v>40178</v>
      </c>
      <c r="C37" s="18" t="s">
        <v>117</v>
      </c>
      <c r="D37" s="14">
        <v>41941</v>
      </c>
      <c r="E37" s="21" t="s">
        <v>46</v>
      </c>
    </row>
    <row r="38" spans="1:5" x14ac:dyDescent="0.25">
      <c r="A38" s="1">
        <v>36</v>
      </c>
      <c r="B38" s="18">
        <v>40179</v>
      </c>
      <c r="C38" s="18" t="s">
        <v>117</v>
      </c>
      <c r="D38" s="14">
        <v>42051</v>
      </c>
      <c r="E38" s="21" t="s">
        <v>5</v>
      </c>
    </row>
    <row r="39" spans="1:5" x14ac:dyDescent="0.25">
      <c r="A39" s="1">
        <v>37</v>
      </c>
      <c r="B39" s="18">
        <v>40182</v>
      </c>
      <c r="C39" s="18" t="s">
        <v>117</v>
      </c>
      <c r="D39" s="14">
        <v>42059</v>
      </c>
      <c r="E39" s="21" t="s">
        <v>5</v>
      </c>
    </row>
    <row r="40" spans="1:5" x14ac:dyDescent="0.25">
      <c r="A40" s="1">
        <v>38</v>
      </c>
      <c r="B40" s="18">
        <v>40183</v>
      </c>
      <c r="C40" s="18" t="s">
        <v>117</v>
      </c>
      <c r="D40" s="14">
        <v>42179</v>
      </c>
      <c r="E40" s="21" t="s">
        <v>47</v>
      </c>
    </row>
    <row r="41" spans="1:5" x14ac:dyDescent="0.25">
      <c r="A41" s="1">
        <v>39</v>
      </c>
      <c r="B41" s="18">
        <v>40190</v>
      </c>
      <c r="C41" s="18" t="s">
        <v>117</v>
      </c>
      <c r="D41" s="14">
        <v>41984</v>
      </c>
      <c r="E41" s="21" t="s">
        <v>4</v>
      </c>
    </row>
    <row r="42" spans="1:5" x14ac:dyDescent="0.25">
      <c r="A42" s="1">
        <v>40</v>
      </c>
      <c r="B42" s="18">
        <v>40194</v>
      </c>
      <c r="C42" s="18" t="s">
        <v>117</v>
      </c>
      <c r="D42" s="14">
        <v>41943</v>
      </c>
      <c r="E42" s="21" t="s">
        <v>46</v>
      </c>
    </row>
    <row r="43" spans="1:5" x14ac:dyDescent="0.25">
      <c r="A43" s="1">
        <v>41</v>
      </c>
      <c r="B43" s="18">
        <v>40208</v>
      </c>
      <c r="C43" s="18" t="s">
        <v>117</v>
      </c>
      <c r="D43" s="14">
        <v>42031</v>
      </c>
      <c r="E43" s="21" t="s">
        <v>7</v>
      </c>
    </row>
    <row r="44" spans="1:5" x14ac:dyDescent="0.25">
      <c r="A44" s="1">
        <v>42</v>
      </c>
      <c r="B44" s="18">
        <v>40258</v>
      </c>
      <c r="C44" s="18" t="s">
        <v>117</v>
      </c>
      <c r="D44" s="14">
        <v>42294</v>
      </c>
      <c r="E44" s="21" t="s">
        <v>48</v>
      </c>
    </row>
    <row r="45" spans="1:5" x14ac:dyDescent="0.25">
      <c r="A45" s="1">
        <v>43</v>
      </c>
      <c r="B45" s="18">
        <v>40322</v>
      </c>
      <c r="C45" s="18" t="s">
        <v>117</v>
      </c>
      <c r="D45" s="14">
        <v>42476</v>
      </c>
      <c r="E45" s="21" t="s">
        <v>49</v>
      </c>
    </row>
    <row r="46" spans="1:5" x14ac:dyDescent="0.25">
      <c r="A46" s="1">
        <v>44</v>
      </c>
      <c r="B46" s="19">
        <v>40323</v>
      </c>
      <c r="C46" s="18" t="s">
        <v>117</v>
      </c>
      <c r="D46" s="14">
        <v>42480</v>
      </c>
      <c r="E46" s="21" t="s">
        <v>49</v>
      </c>
    </row>
    <row r="47" spans="1:5" x14ac:dyDescent="0.25">
      <c r="A47" s="1">
        <v>45</v>
      </c>
      <c r="B47" s="19">
        <v>40324</v>
      </c>
      <c r="C47" s="18" t="s">
        <v>117</v>
      </c>
      <c r="D47" s="14">
        <v>42488</v>
      </c>
      <c r="E47" s="21" t="s">
        <v>49</v>
      </c>
    </row>
    <row r="48" spans="1:5" x14ac:dyDescent="0.25">
      <c r="A48" s="1">
        <v>46</v>
      </c>
      <c r="B48" s="19">
        <v>40332</v>
      </c>
      <c r="C48" s="18" t="s">
        <v>117</v>
      </c>
      <c r="D48" s="14">
        <v>42534</v>
      </c>
      <c r="E48" s="21" t="s">
        <v>50</v>
      </c>
    </row>
    <row r="49" spans="1:5" x14ac:dyDescent="0.25">
      <c r="A49" s="1">
        <v>47</v>
      </c>
      <c r="B49" s="19">
        <v>40333</v>
      </c>
      <c r="C49" s="18" t="s">
        <v>117</v>
      </c>
      <c r="D49" s="14">
        <v>42591</v>
      </c>
      <c r="E49" s="21" t="s">
        <v>51</v>
      </c>
    </row>
    <row r="50" spans="1:5" x14ac:dyDescent="0.25">
      <c r="A50" s="1">
        <v>48</v>
      </c>
      <c r="B50" s="19">
        <v>40345</v>
      </c>
      <c r="C50" s="18" t="s">
        <v>117</v>
      </c>
      <c r="D50" s="14">
        <v>42555</v>
      </c>
      <c r="E50" s="21" t="s">
        <v>52</v>
      </c>
    </row>
    <row r="51" spans="1:5" x14ac:dyDescent="0.25">
      <c r="A51" s="1">
        <v>49</v>
      </c>
      <c r="B51" s="19">
        <v>40420</v>
      </c>
      <c r="C51" s="18" t="s">
        <v>117</v>
      </c>
      <c r="D51" s="14">
        <v>42850</v>
      </c>
      <c r="E51" s="21" t="s">
        <v>53</v>
      </c>
    </row>
    <row r="52" spans="1:5" x14ac:dyDescent="0.25">
      <c r="A52" s="1">
        <v>50</v>
      </c>
      <c r="B52" s="19">
        <v>40469</v>
      </c>
      <c r="C52" s="18" t="s">
        <v>117</v>
      </c>
      <c r="D52" s="14">
        <v>42942</v>
      </c>
      <c r="E52" s="21" t="s">
        <v>54</v>
      </c>
    </row>
    <row r="53" spans="1:5" x14ac:dyDescent="0.25">
      <c r="A53" s="1">
        <v>51</v>
      </c>
      <c r="B53" s="20">
        <v>50001</v>
      </c>
      <c r="C53" s="20" t="s">
        <v>118</v>
      </c>
      <c r="D53" s="14">
        <v>42043</v>
      </c>
      <c r="E53" s="21" t="s">
        <v>5</v>
      </c>
    </row>
    <row r="54" spans="1:5" x14ac:dyDescent="0.25">
      <c r="A54" s="1">
        <v>52</v>
      </c>
      <c r="B54" s="20">
        <v>50002</v>
      </c>
      <c r="C54" s="20" t="s">
        <v>118</v>
      </c>
      <c r="D54" s="14">
        <v>42190</v>
      </c>
      <c r="E54" s="21" t="s">
        <v>6</v>
      </c>
    </row>
    <row r="55" spans="1:5" x14ac:dyDescent="0.25">
      <c r="A55" s="1">
        <v>53</v>
      </c>
      <c r="B55" s="20">
        <v>50003</v>
      </c>
      <c r="C55" s="20" t="s">
        <v>118</v>
      </c>
      <c r="D55" s="14">
        <v>42811</v>
      </c>
      <c r="E55" s="21" t="s">
        <v>55</v>
      </c>
    </row>
    <row r="56" spans="1:5" x14ac:dyDescent="0.25">
      <c r="A56" s="1">
        <v>54</v>
      </c>
      <c r="B56" s="20">
        <v>50004</v>
      </c>
      <c r="C56" s="20" t="s">
        <v>118</v>
      </c>
      <c r="D56" s="14">
        <v>42642</v>
      </c>
      <c r="E56" s="21" t="s">
        <v>56</v>
      </c>
    </row>
    <row r="57" spans="1:5" x14ac:dyDescent="0.25">
      <c r="A57" s="1">
        <v>55</v>
      </c>
      <c r="B57" s="20">
        <v>50005</v>
      </c>
      <c r="C57" s="20" t="s">
        <v>118</v>
      </c>
      <c r="D57" s="14">
        <v>42602</v>
      </c>
      <c r="E57" s="21" t="s">
        <v>51</v>
      </c>
    </row>
    <row r="58" spans="1:5" x14ac:dyDescent="0.25">
      <c r="A58" s="1">
        <v>56</v>
      </c>
      <c r="B58" s="20">
        <v>50006</v>
      </c>
      <c r="C58" s="20" t="s">
        <v>118</v>
      </c>
      <c r="D58" s="14">
        <v>43220</v>
      </c>
      <c r="E58" s="21" t="s">
        <v>57</v>
      </c>
    </row>
    <row r="59" spans="1:5" x14ac:dyDescent="0.25">
      <c r="A59" s="1">
        <v>57</v>
      </c>
      <c r="B59" s="20">
        <v>50007</v>
      </c>
      <c r="C59" s="20" t="s">
        <v>118</v>
      </c>
      <c r="D59" s="14">
        <v>43342</v>
      </c>
      <c r="E59" s="21" t="s">
        <v>58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16" workbookViewId="0">
      <selection activeCell="I28" sqref="I28"/>
    </sheetView>
  </sheetViews>
  <sheetFormatPr defaultRowHeight="15" x14ac:dyDescent="0.25"/>
  <cols>
    <col min="4" max="4" width="10.140625" bestFit="1" customWidth="1"/>
  </cols>
  <sheetData>
    <row r="1" spans="1:4" x14ac:dyDescent="0.25">
      <c r="A1" s="1" t="s">
        <v>124</v>
      </c>
      <c r="B1" s="1" t="s">
        <v>76</v>
      </c>
      <c r="C1" s="1"/>
      <c r="D1" s="1" t="s">
        <v>2</v>
      </c>
    </row>
    <row r="2" spans="1:4" x14ac:dyDescent="0.25">
      <c r="A2" s="1">
        <v>1</v>
      </c>
      <c r="B2" s="45">
        <v>32718</v>
      </c>
      <c r="C2" s="46" t="s">
        <v>75</v>
      </c>
      <c r="D2" s="47">
        <v>43922</v>
      </c>
    </row>
    <row r="3" spans="1:4" x14ac:dyDescent="0.25">
      <c r="A3" s="1">
        <v>2</v>
      </c>
      <c r="B3" s="45">
        <v>32720</v>
      </c>
      <c r="C3" s="46" t="s">
        <v>75</v>
      </c>
      <c r="D3" s="47">
        <v>43952</v>
      </c>
    </row>
    <row r="4" spans="1:4" x14ac:dyDescent="0.25">
      <c r="A4" s="1">
        <v>3</v>
      </c>
      <c r="B4" s="45">
        <v>38651</v>
      </c>
      <c r="C4" s="46" t="s">
        <v>75</v>
      </c>
      <c r="D4" s="47">
        <v>45611</v>
      </c>
    </row>
    <row r="5" spans="1:4" x14ac:dyDescent="0.25">
      <c r="A5" s="1">
        <v>4</v>
      </c>
      <c r="B5" s="45">
        <v>38802</v>
      </c>
      <c r="C5" s="46" t="s">
        <v>75</v>
      </c>
      <c r="D5" s="47">
        <v>45667</v>
      </c>
    </row>
    <row r="6" spans="1:4" x14ac:dyDescent="0.25">
      <c r="A6" s="1">
        <v>5</v>
      </c>
      <c r="B6" s="45">
        <v>38805</v>
      </c>
      <c r="C6" s="46" t="s">
        <v>75</v>
      </c>
      <c r="D6" s="47">
        <v>45600</v>
      </c>
    </row>
    <row r="7" spans="1:4" x14ac:dyDescent="0.25">
      <c r="A7" s="1">
        <v>6</v>
      </c>
      <c r="B7" s="45">
        <v>38821</v>
      </c>
      <c r="C7" s="46" t="s">
        <v>75</v>
      </c>
      <c r="D7" s="47">
        <v>45588</v>
      </c>
    </row>
    <row r="8" spans="1:4" x14ac:dyDescent="0.25">
      <c r="A8" s="1">
        <v>7</v>
      </c>
      <c r="B8" s="45">
        <v>38972</v>
      </c>
      <c r="C8" s="46" t="s">
        <v>75</v>
      </c>
      <c r="D8" s="47">
        <v>45644</v>
      </c>
    </row>
    <row r="9" spans="1:4" x14ac:dyDescent="0.25">
      <c r="A9" s="1">
        <v>8</v>
      </c>
      <c r="B9" s="45">
        <v>41843</v>
      </c>
      <c r="C9" s="46" t="s">
        <v>75</v>
      </c>
      <c r="D9" s="47">
        <v>45322</v>
      </c>
    </row>
    <row r="10" spans="1:4" x14ac:dyDescent="0.25">
      <c r="A10" s="1">
        <v>9</v>
      </c>
      <c r="B10" s="45">
        <v>41966</v>
      </c>
      <c r="C10" s="46" t="s">
        <v>75</v>
      </c>
      <c r="D10" s="47">
        <v>45680</v>
      </c>
    </row>
    <row r="11" spans="1:4" x14ac:dyDescent="0.25">
      <c r="A11" s="1">
        <v>10</v>
      </c>
      <c r="B11" s="45">
        <v>41967</v>
      </c>
      <c r="C11" s="46" t="s">
        <v>75</v>
      </c>
      <c r="D11" s="47">
        <v>45689</v>
      </c>
    </row>
    <row r="12" spans="1:4" x14ac:dyDescent="0.25">
      <c r="A12" s="1">
        <v>11</v>
      </c>
      <c r="B12" s="45">
        <v>43523</v>
      </c>
      <c r="C12" s="46" t="s">
        <v>75</v>
      </c>
      <c r="D12" s="47">
        <v>45357</v>
      </c>
    </row>
    <row r="13" spans="1:4" x14ac:dyDescent="0.25">
      <c r="A13" s="1">
        <v>12</v>
      </c>
      <c r="B13" s="45">
        <v>43524</v>
      </c>
      <c r="C13" s="46" t="s">
        <v>75</v>
      </c>
      <c r="D13" s="47">
        <v>45385</v>
      </c>
    </row>
    <row r="14" spans="1:4" x14ac:dyDescent="0.25">
      <c r="A14" s="1">
        <v>13</v>
      </c>
      <c r="B14" s="45">
        <v>43530</v>
      </c>
      <c r="C14" s="46" t="s">
        <v>75</v>
      </c>
      <c r="D14" s="47">
        <v>45283</v>
      </c>
    </row>
    <row r="15" spans="1:4" x14ac:dyDescent="0.25">
      <c r="A15" s="1">
        <v>14</v>
      </c>
      <c r="B15" s="45">
        <v>43532</v>
      </c>
      <c r="C15" s="46" t="s">
        <v>75</v>
      </c>
      <c r="D15" s="47">
        <v>45311</v>
      </c>
    </row>
    <row r="16" spans="1:4" x14ac:dyDescent="0.25">
      <c r="A16" s="1">
        <v>15</v>
      </c>
      <c r="B16" s="45">
        <v>43533</v>
      </c>
      <c r="C16" s="46" t="s">
        <v>75</v>
      </c>
      <c r="D16" s="47">
        <v>45294</v>
      </c>
    </row>
    <row r="17" spans="1:4" x14ac:dyDescent="0.25">
      <c r="A17" s="1">
        <v>16</v>
      </c>
      <c r="B17" s="45">
        <v>43540</v>
      </c>
      <c r="C17" s="46" t="s">
        <v>75</v>
      </c>
      <c r="D17" s="47">
        <v>45357</v>
      </c>
    </row>
    <row r="18" spans="1:4" x14ac:dyDescent="0.25">
      <c r="A18" s="1">
        <v>17</v>
      </c>
      <c r="B18" s="45">
        <v>43547</v>
      </c>
      <c r="C18" s="46" t="s">
        <v>75</v>
      </c>
      <c r="D18" s="47">
        <v>45310</v>
      </c>
    </row>
    <row r="19" spans="1:4" x14ac:dyDescent="0.25">
      <c r="A19" s="1">
        <v>18</v>
      </c>
      <c r="B19" s="45">
        <v>43548</v>
      </c>
      <c r="C19" s="46" t="s">
        <v>75</v>
      </c>
      <c r="D19" s="47">
        <v>45302</v>
      </c>
    </row>
    <row r="20" spans="1:4" x14ac:dyDescent="0.25">
      <c r="A20" s="1">
        <v>19</v>
      </c>
      <c r="B20" s="45">
        <v>43560</v>
      </c>
      <c r="C20" s="46" t="s">
        <v>75</v>
      </c>
      <c r="D20" s="47">
        <v>45313</v>
      </c>
    </row>
    <row r="21" spans="1:4" x14ac:dyDescent="0.25">
      <c r="A21" s="1">
        <v>20</v>
      </c>
      <c r="B21" s="45">
        <v>43568</v>
      </c>
      <c r="C21" s="46" t="s">
        <v>75</v>
      </c>
      <c r="D21" s="47">
        <v>45315</v>
      </c>
    </row>
    <row r="22" spans="1:4" x14ac:dyDescent="0.25">
      <c r="A22" s="1">
        <v>21</v>
      </c>
      <c r="B22" s="45">
        <v>43569</v>
      </c>
      <c r="C22" s="46" t="s">
        <v>75</v>
      </c>
      <c r="D22" s="47">
        <v>45378</v>
      </c>
    </row>
    <row r="23" spans="1:4" x14ac:dyDescent="0.25">
      <c r="A23" s="1">
        <v>22</v>
      </c>
      <c r="B23" s="45">
        <v>43571</v>
      </c>
      <c r="C23" s="46" t="s">
        <v>75</v>
      </c>
      <c r="D23" s="47">
        <v>45357</v>
      </c>
    </row>
    <row r="24" spans="1:4" x14ac:dyDescent="0.25">
      <c r="A24" s="1">
        <v>23</v>
      </c>
      <c r="B24" s="45">
        <v>43602</v>
      </c>
      <c r="C24" s="46" t="s">
        <v>75</v>
      </c>
      <c r="D24" s="47">
        <v>45345</v>
      </c>
    </row>
    <row r="25" spans="1:4" x14ac:dyDescent="0.25">
      <c r="A25" s="1">
        <v>24</v>
      </c>
      <c r="B25" s="45">
        <v>43603</v>
      </c>
      <c r="C25" s="46" t="s">
        <v>75</v>
      </c>
      <c r="D25" s="47">
        <v>45349</v>
      </c>
    </row>
    <row r="26" spans="1:4" x14ac:dyDescent="0.25">
      <c r="A26" s="1">
        <v>25</v>
      </c>
      <c r="B26" s="45">
        <v>43604</v>
      </c>
      <c r="C26" s="46" t="s">
        <v>75</v>
      </c>
      <c r="D26" s="47">
        <v>45339</v>
      </c>
    </row>
    <row r="27" spans="1:4" x14ac:dyDescent="0.25">
      <c r="A27" s="1">
        <v>26</v>
      </c>
      <c r="B27" s="45">
        <v>43605</v>
      </c>
      <c r="C27" s="46" t="s">
        <v>75</v>
      </c>
      <c r="D27" s="47">
        <v>45378</v>
      </c>
    </row>
    <row r="28" spans="1:4" x14ac:dyDescent="0.25">
      <c r="A28" s="1">
        <v>27</v>
      </c>
      <c r="B28" s="45">
        <v>43653</v>
      </c>
      <c r="C28" s="46" t="s">
        <v>75</v>
      </c>
      <c r="D28" s="47">
        <v>45385</v>
      </c>
    </row>
    <row r="29" spans="1:4" x14ac:dyDescent="0.25">
      <c r="A29" s="1">
        <v>28</v>
      </c>
      <c r="B29" s="45">
        <v>43654</v>
      </c>
      <c r="C29" s="46" t="s">
        <v>75</v>
      </c>
      <c r="D29" s="47">
        <v>45398</v>
      </c>
    </row>
    <row r="30" spans="1:4" x14ac:dyDescent="0.25">
      <c r="A30" s="1">
        <v>29</v>
      </c>
      <c r="B30" s="45">
        <v>43660</v>
      </c>
      <c r="C30" s="46" t="s">
        <v>75</v>
      </c>
      <c r="D30" s="47">
        <v>45405</v>
      </c>
    </row>
    <row r="31" spans="1:4" x14ac:dyDescent="0.25">
      <c r="A31" s="1">
        <v>30</v>
      </c>
      <c r="B31" s="45">
        <v>43661</v>
      </c>
      <c r="C31" s="46" t="s">
        <v>75</v>
      </c>
      <c r="D31" s="47">
        <v>45415</v>
      </c>
    </row>
    <row r="32" spans="1:4" x14ac:dyDescent="0.25">
      <c r="A32" s="1">
        <v>31</v>
      </c>
      <c r="B32" s="45">
        <v>43662</v>
      </c>
      <c r="C32" s="46" t="s">
        <v>75</v>
      </c>
      <c r="D32" s="47">
        <v>45405</v>
      </c>
    </row>
    <row r="33" spans="1:4" x14ac:dyDescent="0.25">
      <c r="A33" s="1">
        <v>32</v>
      </c>
      <c r="B33" s="45">
        <v>43697</v>
      </c>
      <c r="C33" s="46" t="s">
        <v>75</v>
      </c>
      <c r="D33" s="47">
        <v>45475</v>
      </c>
    </row>
    <row r="34" spans="1:4" x14ac:dyDescent="0.25">
      <c r="A34" s="1">
        <v>33</v>
      </c>
      <c r="B34" s="45">
        <v>43698</v>
      </c>
      <c r="C34" s="46" t="s">
        <v>75</v>
      </c>
      <c r="D34" s="47">
        <v>45469</v>
      </c>
    </row>
    <row r="35" spans="1:4" x14ac:dyDescent="0.25">
      <c r="A35" s="1">
        <v>34</v>
      </c>
      <c r="B35" s="45">
        <v>43709</v>
      </c>
      <c r="C35" s="46" t="s">
        <v>75</v>
      </c>
      <c r="D35" s="47">
        <v>45475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topLeftCell="A109" workbookViewId="0">
      <selection activeCell="G126" sqref="G126"/>
    </sheetView>
  </sheetViews>
  <sheetFormatPr defaultRowHeight="15" x14ac:dyDescent="0.25"/>
  <cols>
    <col min="4" max="4" width="10.42578125" bestFit="1" customWidth="1"/>
  </cols>
  <sheetData>
    <row r="1" spans="1:4" x14ac:dyDescent="0.25">
      <c r="A1" s="1" t="s">
        <v>107</v>
      </c>
      <c r="B1" s="1" t="s">
        <v>1</v>
      </c>
      <c r="C1" s="1" t="s">
        <v>108</v>
      </c>
      <c r="D1" s="1" t="s">
        <v>2</v>
      </c>
    </row>
    <row r="2" spans="1:4" x14ac:dyDescent="0.25">
      <c r="A2" s="1">
        <v>1</v>
      </c>
      <c r="B2" s="36">
        <v>60501</v>
      </c>
      <c r="C2" s="1" t="s">
        <v>106</v>
      </c>
      <c r="D2" s="33">
        <v>45765</v>
      </c>
    </row>
    <row r="3" spans="1:4" x14ac:dyDescent="0.25">
      <c r="A3" s="1">
        <v>2</v>
      </c>
      <c r="B3" s="36">
        <v>60502</v>
      </c>
      <c r="C3" s="1" t="s">
        <v>106</v>
      </c>
      <c r="D3" s="33">
        <v>45765</v>
      </c>
    </row>
    <row r="4" spans="1:4" x14ac:dyDescent="0.25">
      <c r="A4" s="1">
        <v>3</v>
      </c>
      <c r="B4" s="36">
        <v>60503</v>
      </c>
      <c r="C4" s="1" t="s">
        <v>106</v>
      </c>
      <c r="D4" s="33">
        <v>45765</v>
      </c>
    </row>
    <row r="5" spans="1:4" x14ac:dyDescent="0.25">
      <c r="A5" s="1">
        <v>4</v>
      </c>
      <c r="B5" s="36">
        <v>60504</v>
      </c>
      <c r="C5" s="1" t="s">
        <v>106</v>
      </c>
      <c r="D5" s="33">
        <v>45765</v>
      </c>
    </row>
    <row r="6" spans="1:4" x14ac:dyDescent="0.25">
      <c r="A6" s="1">
        <v>5</v>
      </c>
      <c r="B6" s="36">
        <v>60505</v>
      </c>
      <c r="C6" s="1" t="s">
        <v>106</v>
      </c>
      <c r="D6" s="33">
        <v>45771</v>
      </c>
    </row>
    <row r="7" spans="1:4" x14ac:dyDescent="0.25">
      <c r="A7" s="1">
        <v>6</v>
      </c>
      <c r="B7" s="36">
        <v>60506</v>
      </c>
      <c r="C7" s="1" t="s">
        <v>106</v>
      </c>
      <c r="D7" s="33">
        <v>45771</v>
      </c>
    </row>
    <row r="8" spans="1:4" x14ac:dyDescent="0.25">
      <c r="A8" s="1">
        <v>7</v>
      </c>
      <c r="B8" s="36">
        <v>60507</v>
      </c>
      <c r="C8" s="1" t="s">
        <v>106</v>
      </c>
      <c r="D8" s="33">
        <v>45771</v>
      </c>
    </row>
    <row r="9" spans="1:4" x14ac:dyDescent="0.25">
      <c r="A9" s="1">
        <v>8</v>
      </c>
      <c r="B9" s="36">
        <v>60508</v>
      </c>
      <c r="C9" s="1" t="s">
        <v>106</v>
      </c>
      <c r="D9" s="33">
        <v>45771</v>
      </c>
    </row>
    <row r="10" spans="1:4" x14ac:dyDescent="0.25">
      <c r="A10" s="1">
        <v>9</v>
      </c>
      <c r="B10" s="36">
        <v>60509</v>
      </c>
      <c r="C10" s="1" t="s">
        <v>106</v>
      </c>
      <c r="D10" s="33">
        <v>45772</v>
      </c>
    </row>
    <row r="11" spans="1:4" x14ac:dyDescent="0.25">
      <c r="A11" s="1">
        <v>10</v>
      </c>
      <c r="B11" s="36">
        <v>60510</v>
      </c>
      <c r="C11" s="1" t="s">
        <v>106</v>
      </c>
      <c r="D11" s="33">
        <v>45772</v>
      </c>
    </row>
    <row r="12" spans="1:4" x14ac:dyDescent="0.25">
      <c r="A12" s="1">
        <v>11</v>
      </c>
      <c r="B12" s="36">
        <v>60511</v>
      </c>
      <c r="C12" s="1" t="s">
        <v>106</v>
      </c>
      <c r="D12" s="33">
        <v>45792</v>
      </c>
    </row>
    <row r="13" spans="1:4" x14ac:dyDescent="0.25">
      <c r="A13" s="1">
        <v>12</v>
      </c>
      <c r="B13" s="36">
        <v>60512</v>
      </c>
      <c r="C13" s="1" t="s">
        <v>106</v>
      </c>
      <c r="D13" s="33">
        <v>45792</v>
      </c>
    </row>
    <row r="14" spans="1:4" x14ac:dyDescent="0.25">
      <c r="A14" s="1">
        <v>13</v>
      </c>
      <c r="B14" s="36">
        <v>60513</v>
      </c>
      <c r="C14" s="1" t="s">
        <v>106</v>
      </c>
      <c r="D14" s="33">
        <v>45792</v>
      </c>
    </row>
    <row r="15" spans="1:4" x14ac:dyDescent="0.25">
      <c r="A15" s="1">
        <v>14</v>
      </c>
      <c r="B15" s="36">
        <v>60514</v>
      </c>
      <c r="C15" s="1" t="s">
        <v>106</v>
      </c>
      <c r="D15" s="33">
        <v>45792</v>
      </c>
    </row>
    <row r="16" spans="1:4" x14ac:dyDescent="0.25">
      <c r="A16" s="1">
        <v>15</v>
      </c>
      <c r="B16" s="36">
        <v>60515</v>
      </c>
      <c r="C16" s="1" t="s">
        <v>106</v>
      </c>
      <c r="D16" s="33">
        <v>45797</v>
      </c>
    </row>
    <row r="17" spans="1:4" x14ac:dyDescent="0.25">
      <c r="A17" s="1">
        <v>16</v>
      </c>
      <c r="B17" s="36">
        <v>60516</v>
      </c>
      <c r="C17" s="1" t="s">
        <v>106</v>
      </c>
      <c r="D17" s="33">
        <v>45797</v>
      </c>
    </row>
    <row r="18" spans="1:4" x14ac:dyDescent="0.25">
      <c r="A18" s="1">
        <v>17</v>
      </c>
      <c r="B18" s="36">
        <v>60517</v>
      </c>
      <c r="C18" s="1" t="s">
        <v>106</v>
      </c>
      <c r="D18" s="33">
        <v>45797</v>
      </c>
    </row>
    <row r="19" spans="1:4" x14ac:dyDescent="0.25">
      <c r="A19" s="1">
        <v>18</v>
      </c>
      <c r="B19" s="36">
        <v>60518</v>
      </c>
      <c r="C19" s="1" t="s">
        <v>106</v>
      </c>
      <c r="D19" s="33">
        <v>45797</v>
      </c>
    </row>
    <row r="20" spans="1:4" x14ac:dyDescent="0.25">
      <c r="A20" s="1">
        <v>19</v>
      </c>
      <c r="B20" s="36">
        <v>60519</v>
      </c>
      <c r="C20" s="1" t="s">
        <v>106</v>
      </c>
      <c r="D20" s="33">
        <v>45800</v>
      </c>
    </row>
    <row r="21" spans="1:4" x14ac:dyDescent="0.25">
      <c r="A21" s="1">
        <v>20</v>
      </c>
      <c r="B21" s="36">
        <v>60520</v>
      </c>
      <c r="C21" s="1" t="s">
        <v>106</v>
      </c>
      <c r="D21" s="33">
        <v>45800</v>
      </c>
    </row>
    <row r="22" spans="1:4" x14ac:dyDescent="0.25">
      <c r="A22" s="1">
        <v>21</v>
      </c>
      <c r="B22" s="36">
        <v>60521</v>
      </c>
      <c r="C22" s="1" t="s">
        <v>106</v>
      </c>
      <c r="D22" s="33">
        <v>45811</v>
      </c>
    </row>
    <row r="23" spans="1:4" x14ac:dyDescent="0.25">
      <c r="A23" s="1">
        <v>22</v>
      </c>
      <c r="B23" s="36">
        <v>60522</v>
      </c>
      <c r="C23" s="1" t="s">
        <v>106</v>
      </c>
      <c r="D23" s="33">
        <v>45811</v>
      </c>
    </row>
    <row r="24" spans="1:4" x14ac:dyDescent="0.25">
      <c r="A24" s="1">
        <v>23</v>
      </c>
      <c r="B24" s="36">
        <v>60523</v>
      </c>
      <c r="C24" s="1" t="s">
        <v>106</v>
      </c>
      <c r="D24" s="33">
        <v>45811</v>
      </c>
    </row>
    <row r="25" spans="1:4" x14ac:dyDescent="0.25">
      <c r="A25" s="1">
        <v>24</v>
      </c>
      <c r="B25" s="36">
        <v>60524</v>
      </c>
      <c r="C25" s="1" t="s">
        <v>106</v>
      </c>
      <c r="D25" s="33">
        <v>45811</v>
      </c>
    </row>
    <row r="26" spans="1:4" x14ac:dyDescent="0.25">
      <c r="A26" s="1">
        <v>25</v>
      </c>
      <c r="B26" s="36">
        <v>60525</v>
      </c>
      <c r="C26" s="1" t="s">
        <v>106</v>
      </c>
      <c r="D26" s="33">
        <v>45820</v>
      </c>
    </row>
    <row r="27" spans="1:4" x14ac:dyDescent="0.25">
      <c r="A27" s="1">
        <v>26</v>
      </c>
      <c r="B27" s="36">
        <v>60526</v>
      </c>
      <c r="C27" s="1" t="s">
        <v>106</v>
      </c>
      <c r="D27" s="33">
        <v>45820</v>
      </c>
    </row>
    <row r="28" spans="1:4" x14ac:dyDescent="0.25">
      <c r="A28" s="1">
        <v>27</v>
      </c>
      <c r="B28" s="36">
        <v>60527</v>
      </c>
      <c r="C28" s="1" t="s">
        <v>106</v>
      </c>
      <c r="D28" s="33">
        <v>45820</v>
      </c>
    </row>
    <row r="29" spans="1:4" x14ac:dyDescent="0.25">
      <c r="A29" s="1">
        <v>28</v>
      </c>
      <c r="B29" s="36">
        <v>60528</v>
      </c>
      <c r="C29" s="1" t="s">
        <v>106</v>
      </c>
      <c r="D29" s="33">
        <v>45820</v>
      </c>
    </row>
    <row r="30" spans="1:4" x14ac:dyDescent="0.25">
      <c r="A30" s="1">
        <v>29</v>
      </c>
      <c r="B30" s="36">
        <v>60529</v>
      </c>
      <c r="C30" s="1" t="s">
        <v>106</v>
      </c>
      <c r="D30" s="33">
        <v>45827</v>
      </c>
    </row>
    <row r="31" spans="1:4" x14ac:dyDescent="0.25">
      <c r="A31" s="1">
        <v>30</v>
      </c>
      <c r="B31" s="36">
        <v>60530</v>
      </c>
      <c r="C31" s="1" t="s">
        <v>106</v>
      </c>
      <c r="D31" s="33">
        <v>45827</v>
      </c>
    </row>
    <row r="32" spans="1:4" x14ac:dyDescent="0.25">
      <c r="A32" s="1">
        <v>31</v>
      </c>
      <c r="B32" s="36">
        <v>60531</v>
      </c>
      <c r="C32" s="1" t="s">
        <v>106</v>
      </c>
      <c r="D32" s="33">
        <v>45853</v>
      </c>
    </row>
    <row r="33" spans="1:4" x14ac:dyDescent="0.25">
      <c r="A33" s="1">
        <v>32</v>
      </c>
      <c r="B33" s="36">
        <v>60532</v>
      </c>
      <c r="C33" s="1" t="s">
        <v>106</v>
      </c>
      <c r="D33" s="33">
        <v>45853</v>
      </c>
    </row>
    <row r="34" spans="1:4" x14ac:dyDescent="0.25">
      <c r="A34" s="1">
        <v>33</v>
      </c>
      <c r="B34" s="36">
        <v>60533</v>
      </c>
      <c r="C34" s="1" t="s">
        <v>106</v>
      </c>
      <c r="D34" s="33">
        <v>45853</v>
      </c>
    </row>
    <row r="35" spans="1:4" x14ac:dyDescent="0.25">
      <c r="A35" s="1">
        <v>34</v>
      </c>
      <c r="B35" s="36">
        <v>60534</v>
      </c>
      <c r="C35" s="1" t="s">
        <v>106</v>
      </c>
      <c r="D35" s="33">
        <v>45853</v>
      </c>
    </row>
    <row r="36" spans="1:4" x14ac:dyDescent="0.25">
      <c r="A36" s="1">
        <v>35</v>
      </c>
      <c r="B36" s="37">
        <v>60535</v>
      </c>
      <c r="C36" s="1" t="s">
        <v>106</v>
      </c>
      <c r="D36" s="33">
        <v>45861</v>
      </c>
    </row>
    <row r="37" spans="1:4" x14ac:dyDescent="0.25">
      <c r="A37" s="1">
        <v>36</v>
      </c>
      <c r="B37" s="37">
        <v>60536</v>
      </c>
      <c r="C37" s="1" t="s">
        <v>106</v>
      </c>
      <c r="D37" s="33">
        <v>45861</v>
      </c>
    </row>
    <row r="38" spans="1:4" x14ac:dyDescent="0.25">
      <c r="A38" s="1">
        <v>37</v>
      </c>
      <c r="B38" s="37">
        <v>60537</v>
      </c>
      <c r="C38" s="1" t="s">
        <v>106</v>
      </c>
      <c r="D38" s="33">
        <v>45861</v>
      </c>
    </row>
    <row r="39" spans="1:4" x14ac:dyDescent="0.25">
      <c r="A39" s="1">
        <v>38</v>
      </c>
      <c r="B39" s="37">
        <v>60538</v>
      </c>
      <c r="C39" s="1" t="s">
        <v>106</v>
      </c>
      <c r="D39" s="33">
        <v>45861</v>
      </c>
    </row>
    <row r="40" spans="1:4" x14ac:dyDescent="0.25">
      <c r="A40" s="1">
        <v>39</v>
      </c>
      <c r="B40" s="37">
        <v>60539</v>
      </c>
      <c r="C40" s="1" t="s">
        <v>106</v>
      </c>
      <c r="D40" s="33">
        <v>45862</v>
      </c>
    </row>
    <row r="41" spans="1:4" x14ac:dyDescent="0.25">
      <c r="A41" s="1">
        <v>40</v>
      </c>
      <c r="B41" s="37">
        <v>60540</v>
      </c>
      <c r="C41" s="1" t="s">
        <v>106</v>
      </c>
      <c r="D41" s="33">
        <v>45862</v>
      </c>
    </row>
    <row r="42" spans="1:4" x14ac:dyDescent="0.25">
      <c r="A42" s="1">
        <v>41</v>
      </c>
      <c r="B42" s="37">
        <v>60541</v>
      </c>
      <c r="C42" s="1" t="s">
        <v>106</v>
      </c>
      <c r="D42" s="33">
        <v>45877</v>
      </c>
    </row>
    <row r="43" spans="1:4" x14ac:dyDescent="0.25">
      <c r="A43" s="1">
        <v>42</v>
      </c>
      <c r="B43" s="37">
        <v>60542</v>
      </c>
      <c r="C43" s="1" t="s">
        <v>106</v>
      </c>
      <c r="D43" s="33">
        <v>45877</v>
      </c>
    </row>
    <row r="44" spans="1:4" x14ac:dyDescent="0.25">
      <c r="A44" s="1">
        <v>43</v>
      </c>
      <c r="B44" s="37">
        <v>60543</v>
      </c>
      <c r="C44" s="1" t="s">
        <v>106</v>
      </c>
      <c r="D44" s="33">
        <v>45877</v>
      </c>
    </row>
    <row r="45" spans="1:4" x14ac:dyDescent="0.25">
      <c r="A45" s="1">
        <v>44</v>
      </c>
      <c r="B45" s="37">
        <v>60544</v>
      </c>
      <c r="C45" s="1" t="s">
        <v>106</v>
      </c>
      <c r="D45" s="33">
        <v>45877</v>
      </c>
    </row>
    <row r="46" spans="1:4" x14ac:dyDescent="0.25">
      <c r="A46" s="1">
        <v>45</v>
      </c>
      <c r="B46" s="37">
        <v>60545</v>
      </c>
      <c r="C46" s="1" t="s">
        <v>106</v>
      </c>
      <c r="D46" s="33">
        <v>45888</v>
      </c>
    </row>
    <row r="47" spans="1:4" x14ac:dyDescent="0.25">
      <c r="A47" s="1">
        <v>46</v>
      </c>
      <c r="B47" s="37">
        <v>60546</v>
      </c>
      <c r="C47" s="1" t="s">
        <v>106</v>
      </c>
      <c r="D47" s="33">
        <v>45888</v>
      </c>
    </row>
    <row r="48" spans="1:4" x14ac:dyDescent="0.25">
      <c r="A48" s="1">
        <v>47</v>
      </c>
      <c r="B48" s="37">
        <v>60547</v>
      </c>
      <c r="C48" s="1" t="s">
        <v>106</v>
      </c>
      <c r="D48" s="33">
        <v>45888</v>
      </c>
    </row>
    <row r="49" spans="1:4" x14ac:dyDescent="0.25">
      <c r="A49" s="1">
        <v>48</v>
      </c>
      <c r="B49" s="37">
        <v>60548</v>
      </c>
      <c r="C49" s="1" t="s">
        <v>106</v>
      </c>
      <c r="D49" s="33">
        <v>45888</v>
      </c>
    </row>
    <row r="50" spans="1:4" x14ac:dyDescent="0.25">
      <c r="A50" s="1">
        <v>49</v>
      </c>
      <c r="B50" s="37">
        <v>60549</v>
      </c>
      <c r="C50" s="1" t="s">
        <v>106</v>
      </c>
      <c r="D50" s="33">
        <v>45891</v>
      </c>
    </row>
    <row r="51" spans="1:4" x14ac:dyDescent="0.25">
      <c r="A51" s="1">
        <v>50</v>
      </c>
      <c r="B51" s="37">
        <v>60550</v>
      </c>
      <c r="C51" s="1" t="s">
        <v>106</v>
      </c>
      <c r="D51" s="33">
        <v>45891</v>
      </c>
    </row>
    <row r="52" spans="1:4" x14ac:dyDescent="0.25">
      <c r="A52" s="1">
        <v>51</v>
      </c>
      <c r="B52" s="37">
        <v>60551</v>
      </c>
      <c r="C52" s="1" t="s">
        <v>106</v>
      </c>
      <c r="D52" s="33">
        <v>45905</v>
      </c>
    </row>
    <row r="53" spans="1:4" x14ac:dyDescent="0.25">
      <c r="A53" s="1">
        <v>52</v>
      </c>
      <c r="B53" s="37">
        <v>60552</v>
      </c>
      <c r="C53" s="1" t="s">
        <v>106</v>
      </c>
      <c r="D53" s="33">
        <v>45905</v>
      </c>
    </row>
    <row r="54" spans="1:4" x14ac:dyDescent="0.25">
      <c r="A54" s="1">
        <v>53</v>
      </c>
      <c r="B54" s="37">
        <v>60553</v>
      </c>
      <c r="C54" s="1" t="s">
        <v>106</v>
      </c>
      <c r="D54" s="33">
        <v>45905</v>
      </c>
    </row>
    <row r="55" spans="1:4" x14ac:dyDescent="0.25">
      <c r="A55" s="1">
        <v>54</v>
      </c>
      <c r="B55" s="37">
        <v>60554</v>
      </c>
      <c r="C55" s="1" t="s">
        <v>106</v>
      </c>
      <c r="D55" s="33">
        <v>45905</v>
      </c>
    </row>
    <row r="56" spans="1:4" x14ac:dyDescent="0.25">
      <c r="A56" s="1">
        <v>55</v>
      </c>
      <c r="B56" s="37">
        <v>60555</v>
      </c>
      <c r="C56" s="1" t="s">
        <v>106</v>
      </c>
      <c r="D56" s="33">
        <v>45916</v>
      </c>
    </row>
    <row r="57" spans="1:4" x14ac:dyDescent="0.25">
      <c r="A57" s="1">
        <v>56</v>
      </c>
      <c r="B57" s="37">
        <v>60556</v>
      </c>
      <c r="C57" s="1" t="s">
        <v>106</v>
      </c>
      <c r="D57" s="33">
        <v>45916</v>
      </c>
    </row>
    <row r="58" spans="1:4" x14ac:dyDescent="0.25">
      <c r="A58" s="1">
        <v>57</v>
      </c>
      <c r="B58" s="37">
        <v>60557</v>
      </c>
      <c r="C58" s="1" t="s">
        <v>106</v>
      </c>
      <c r="D58" s="33">
        <v>45916</v>
      </c>
    </row>
    <row r="59" spans="1:4" x14ac:dyDescent="0.25">
      <c r="A59" s="1">
        <v>58</v>
      </c>
      <c r="B59" s="37">
        <v>60558</v>
      </c>
      <c r="C59" s="1" t="s">
        <v>106</v>
      </c>
      <c r="D59" s="33">
        <v>45916</v>
      </c>
    </row>
    <row r="60" spans="1:4" x14ac:dyDescent="0.25">
      <c r="A60" s="1">
        <v>59</v>
      </c>
      <c r="B60" s="37">
        <v>60559</v>
      </c>
      <c r="C60" s="1" t="s">
        <v>106</v>
      </c>
      <c r="D60" s="33">
        <v>45919</v>
      </c>
    </row>
    <row r="61" spans="1:4" x14ac:dyDescent="0.25">
      <c r="A61" s="1">
        <v>60</v>
      </c>
      <c r="B61" s="37">
        <v>60560</v>
      </c>
      <c r="C61" s="1" t="s">
        <v>106</v>
      </c>
      <c r="D61" s="33">
        <v>45919</v>
      </c>
    </row>
    <row r="62" spans="1:4" x14ac:dyDescent="0.25">
      <c r="A62" s="1">
        <v>61</v>
      </c>
      <c r="B62" s="37">
        <v>60561</v>
      </c>
      <c r="C62" s="1" t="s">
        <v>106</v>
      </c>
      <c r="D62" s="33">
        <v>45944</v>
      </c>
    </row>
    <row r="63" spans="1:4" x14ac:dyDescent="0.25">
      <c r="A63" s="1">
        <v>62</v>
      </c>
      <c r="B63" s="37">
        <v>60562</v>
      </c>
      <c r="C63" s="1" t="s">
        <v>106</v>
      </c>
      <c r="D63" s="33">
        <v>45944</v>
      </c>
    </row>
    <row r="64" spans="1:4" x14ac:dyDescent="0.25">
      <c r="A64" s="1">
        <v>63</v>
      </c>
      <c r="B64" s="37">
        <v>60563</v>
      </c>
      <c r="C64" s="1" t="s">
        <v>106</v>
      </c>
      <c r="D64" s="33">
        <v>45944</v>
      </c>
    </row>
    <row r="65" spans="1:4" x14ac:dyDescent="0.25">
      <c r="A65" s="1">
        <v>64</v>
      </c>
      <c r="B65" s="37">
        <v>60564</v>
      </c>
      <c r="C65" s="1" t="s">
        <v>106</v>
      </c>
      <c r="D65" s="33">
        <v>45944</v>
      </c>
    </row>
    <row r="66" spans="1:4" x14ac:dyDescent="0.25">
      <c r="A66" s="1">
        <v>65</v>
      </c>
      <c r="B66" s="37">
        <v>60565</v>
      </c>
      <c r="C66" s="1" t="s">
        <v>106</v>
      </c>
      <c r="D66" s="33">
        <v>45946</v>
      </c>
    </row>
    <row r="67" spans="1:4" x14ac:dyDescent="0.25">
      <c r="A67" s="1">
        <v>66</v>
      </c>
      <c r="B67" s="34">
        <v>60566</v>
      </c>
      <c r="C67" s="1" t="s">
        <v>106</v>
      </c>
      <c r="D67" s="35">
        <v>45946</v>
      </c>
    </row>
    <row r="68" spans="1:4" x14ac:dyDescent="0.25">
      <c r="A68" s="1">
        <v>67</v>
      </c>
      <c r="B68" s="34">
        <v>60567</v>
      </c>
      <c r="C68" s="1" t="s">
        <v>106</v>
      </c>
      <c r="D68" s="35">
        <v>45965</v>
      </c>
    </row>
    <row r="69" spans="1:4" x14ac:dyDescent="0.25">
      <c r="A69" s="1">
        <v>68</v>
      </c>
      <c r="B69" s="34">
        <v>60568</v>
      </c>
      <c r="C69" s="1" t="s">
        <v>106</v>
      </c>
      <c r="D69" s="35">
        <v>45968</v>
      </c>
    </row>
    <row r="70" spans="1:4" x14ac:dyDescent="0.25">
      <c r="A70" s="1">
        <v>69</v>
      </c>
      <c r="B70" s="34">
        <v>60569</v>
      </c>
      <c r="C70" s="1" t="s">
        <v>106</v>
      </c>
      <c r="D70" s="35">
        <v>45968</v>
      </c>
    </row>
    <row r="71" spans="1:4" x14ac:dyDescent="0.25">
      <c r="A71" s="1">
        <v>70</v>
      </c>
      <c r="B71" s="34">
        <v>60570</v>
      </c>
      <c r="C71" s="1" t="s">
        <v>106</v>
      </c>
      <c r="D71" s="35">
        <v>45971</v>
      </c>
    </row>
    <row r="72" spans="1:4" x14ac:dyDescent="0.25">
      <c r="A72" s="1">
        <v>71</v>
      </c>
      <c r="B72" s="34">
        <v>60571</v>
      </c>
      <c r="C72" s="1" t="s">
        <v>106</v>
      </c>
      <c r="D72" s="35">
        <v>45980</v>
      </c>
    </row>
    <row r="73" spans="1:4" x14ac:dyDescent="0.25">
      <c r="A73" s="1">
        <v>72</v>
      </c>
      <c r="B73" s="34">
        <v>60572</v>
      </c>
      <c r="C73" s="1" t="s">
        <v>106</v>
      </c>
      <c r="D73" s="35">
        <v>45980</v>
      </c>
    </row>
    <row r="74" spans="1:4" x14ac:dyDescent="0.25">
      <c r="A74" s="1">
        <v>73</v>
      </c>
      <c r="B74" s="34">
        <v>60573</v>
      </c>
      <c r="C74" s="1" t="s">
        <v>106</v>
      </c>
      <c r="D74" s="35">
        <v>45980</v>
      </c>
    </row>
    <row r="75" spans="1:4" x14ac:dyDescent="0.25">
      <c r="A75" s="1">
        <v>74</v>
      </c>
      <c r="B75" s="34">
        <v>60574</v>
      </c>
      <c r="C75" s="1" t="s">
        <v>106</v>
      </c>
      <c r="D75" s="35">
        <v>45980</v>
      </c>
    </row>
    <row r="76" spans="1:4" x14ac:dyDescent="0.25">
      <c r="A76" s="1">
        <v>75</v>
      </c>
      <c r="B76" s="34">
        <v>60575</v>
      </c>
      <c r="C76" s="1" t="s">
        <v>106</v>
      </c>
      <c r="D76" s="35">
        <v>45981</v>
      </c>
    </row>
    <row r="77" spans="1:4" x14ac:dyDescent="0.25">
      <c r="A77" s="1">
        <v>76</v>
      </c>
      <c r="B77" s="34">
        <v>60576</v>
      </c>
      <c r="C77" s="1" t="s">
        <v>106</v>
      </c>
      <c r="D77" s="35">
        <v>45981</v>
      </c>
    </row>
    <row r="78" spans="1:4" x14ac:dyDescent="0.25">
      <c r="A78" s="1">
        <v>77</v>
      </c>
      <c r="B78" s="34">
        <v>60577</v>
      </c>
      <c r="C78" s="1" t="s">
        <v>106</v>
      </c>
      <c r="D78" s="35">
        <v>46001</v>
      </c>
    </row>
    <row r="79" spans="1:4" x14ac:dyDescent="0.25">
      <c r="A79" s="1">
        <v>78</v>
      </c>
      <c r="B79" s="34">
        <v>60578</v>
      </c>
      <c r="C79" s="1" t="s">
        <v>106</v>
      </c>
      <c r="D79" s="35">
        <v>46001</v>
      </c>
    </row>
    <row r="80" spans="1:4" x14ac:dyDescent="0.25">
      <c r="A80" s="1">
        <v>79</v>
      </c>
      <c r="B80" s="34">
        <v>60579</v>
      </c>
      <c r="C80" s="1" t="s">
        <v>106</v>
      </c>
      <c r="D80" s="35">
        <v>46001</v>
      </c>
    </row>
    <row r="81" spans="1:4" x14ac:dyDescent="0.25">
      <c r="A81" s="1">
        <v>80</v>
      </c>
      <c r="B81" s="34">
        <v>60580</v>
      </c>
      <c r="C81" s="1" t="s">
        <v>106</v>
      </c>
      <c r="D81" s="35">
        <v>46001</v>
      </c>
    </row>
    <row r="82" spans="1:4" x14ac:dyDescent="0.25">
      <c r="A82" s="1">
        <v>81</v>
      </c>
      <c r="B82" s="34">
        <v>60581</v>
      </c>
      <c r="C82" s="1" t="s">
        <v>106</v>
      </c>
      <c r="D82" s="35">
        <v>46031</v>
      </c>
    </row>
    <row r="83" spans="1:4" x14ac:dyDescent="0.25">
      <c r="A83" s="1">
        <v>82</v>
      </c>
      <c r="B83" s="34">
        <v>60582</v>
      </c>
      <c r="C83" s="1" t="s">
        <v>106</v>
      </c>
      <c r="D83" s="35">
        <v>46031</v>
      </c>
    </row>
    <row r="84" spans="1:4" x14ac:dyDescent="0.25">
      <c r="A84" s="1">
        <v>83</v>
      </c>
      <c r="B84" s="34">
        <v>60583</v>
      </c>
      <c r="C84" s="1" t="s">
        <v>106</v>
      </c>
      <c r="D84" s="35">
        <v>46031</v>
      </c>
    </row>
    <row r="85" spans="1:4" x14ac:dyDescent="0.25">
      <c r="A85" s="1">
        <v>84</v>
      </c>
      <c r="B85" s="34">
        <v>60584</v>
      </c>
      <c r="C85" s="1" t="s">
        <v>106</v>
      </c>
      <c r="D85" s="35">
        <v>46031</v>
      </c>
    </row>
    <row r="86" spans="1:4" x14ac:dyDescent="0.25">
      <c r="A86" s="1">
        <v>85</v>
      </c>
      <c r="B86" s="34">
        <v>60585</v>
      </c>
      <c r="C86" s="1" t="s">
        <v>106</v>
      </c>
      <c r="D86" s="35">
        <v>46038</v>
      </c>
    </row>
    <row r="87" spans="1:4" x14ac:dyDescent="0.25">
      <c r="A87" s="1">
        <v>86</v>
      </c>
      <c r="B87" s="34">
        <v>60586</v>
      </c>
      <c r="C87" s="1" t="s">
        <v>106</v>
      </c>
      <c r="D87" s="35">
        <v>46038</v>
      </c>
    </row>
    <row r="88" spans="1:4" x14ac:dyDescent="0.25">
      <c r="A88" s="1">
        <v>87</v>
      </c>
      <c r="B88" s="34">
        <v>60587</v>
      </c>
      <c r="C88" s="1" t="s">
        <v>106</v>
      </c>
      <c r="D88" s="35">
        <v>46038</v>
      </c>
    </row>
    <row r="89" spans="1:4" x14ac:dyDescent="0.25">
      <c r="A89" s="1">
        <v>88</v>
      </c>
      <c r="B89" s="34">
        <v>60588</v>
      </c>
      <c r="C89" s="1" t="s">
        <v>106</v>
      </c>
      <c r="D89" s="35">
        <v>46038</v>
      </c>
    </row>
    <row r="90" spans="1:4" x14ac:dyDescent="0.25">
      <c r="A90" s="1">
        <v>89</v>
      </c>
      <c r="B90" s="34">
        <v>60589</v>
      </c>
      <c r="C90" s="1" t="s">
        <v>106</v>
      </c>
      <c r="D90" s="35">
        <v>46043</v>
      </c>
    </row>
    <row r="91" spans="1:4" x14ac:dyDescent="0.25">
      <c r="A91" s="1">
        <v>90</v>
      </c>
      <c r="B91" s="34">
        <v>60590</v>
      </c>
      <c r="C91" s="1" t="s">
        <v>106</v>
      </c>
      <c r="D91" s="35">
        <v>46043</v>
      </c>
    </row>
    <row r="92" spans="1:4" x14ac:dyDescent="0.25">
      <c r="A92" s="1">
        <v>91</v>
      </c>
      <c r="B92" s="34">
        <v>60591</v>
      </c>
      <c r="C92" s="1" t="s">
        <v>106</v>
      </c>
      <c r="D92" s="35">
        <v>46066</v>
      </c>
    </row>
    <row r="93" spans="1:4" x14ac:dyDescent="0.25">
      <c r="A93" s="1">
        <v>92</v>
      </c>
      <c r="B93" s="34">
        <v>60592</v>
      </c>
      <c r="C93" s="1" t="s">
        <v>106</v>
      </c>
      <c r="D93" s="35">
        <v>46066</v>
      </c>
    </row>
    <row r="94" spans="1:4" x14ac:dyDescent="0.25">
      <c r="A94" s="1">
        <v>93</v>
      </c>
      <c r="B94" s="34">
        <v>60593</v>
      </c>
      <c r="C94" s="1" t="s">
        <v>106</v>
      </c>
      <c r="D94" s="35">
        <v>46066</v>
      </c>
    </row>
    <row r="95" spans="1:4" x14ac:dyDescent="0.25">
      <c r="A95" s="1">
        <v>94</v>
      </c>
      <c r="B95" s="34">
        <v>60594</v>
      </c>
      <c r="C95" s="1" t="s">
        <v>106</v>
      </c>
      <c r="D95" s="35">
        <v>46066</v>
      </c>
    </row>
    <row r="96" spans="1:4" x14ac:dyDescent="0.25">
      <c r="A96" s="1">
        <v>95</v>
      </c>
      <c r="B96" s="34">
        <v>60595</v>
      </c>
      <c r="C96" s="1" t="s">
        <v>106</v>
      </c>
      <c r="D96" s="35">
        <v>46073</v>
      </c>
    </row>
    <row r="97" spans="1:4" x14ac:dyDescent="0.25">
      <c r="A97" s="1">
        <v>96</v>
      </c>
      <c r="B97" s="34">
        <v>60596</v>
      </c>
      <c r="C97" s="1" t="s">
        <v>106</v>
      </c>
      <c r="D97" s="35">
        <v>46073</v>
      </c>
    </row>
    <row r="98" spans="1:4" x14ac:dyDescent="0.25">
      <c r="A98" s="1">
        <v>97</v>
      </c>
      <c r="B98" s="34">
        <v>60597</v>
      </c>
      <c r="C98" s="1" t="s">
        <v>106</v>
      </c>
      <c r="D98" s="35">
        <v>46073</v>
      </c>
    </row>
    <row r="99" spans="1:4" x14ac:dyDescent="0.25">
      <c r="A99" s="1">
        <v>98</v>
      </c>
      <c r="B99" s="34">
        <v>60598</v>
      </c>
      <c r="C99" s="1" t="s">
        <v>106</v>
      </c>
      <c r="D99" s="35">
        <v>46073</v>
      </c>
    </row>
    <row r="100" spans="1:4" x14ac:dyDescent="0.25">
      <c r="A100" s="1">
        <v>99</v>
      </c>
      <c r="B100" s="34">
        <v>60599</v>
      </c>
      <c r="C100" s="1" t="s">
        <v>106</v>
      </c>
      <c r="D100" s="35">
        <v>46097</v>
      </c>
    </row>
    <row r="101" spans="1:4" x14ac:dyDescent="0.25">
      <c r="A101" s="1">
        <v>100</v>
      </c>
      <c r="B101" s="34">
        <v>60600</v>
      </c>
      <c r="C101" s="1" t="s">
        <v>106</v>
      </c>
      <c r="D101" s="35">
        <v>46097</v>
      </c>
    </row>
    <row r="102" spans="1:4" x14ac:dyDescent="0.25">
      <c r="A102" s="1">
        <v>101</v>
      </c>
      <c r="B102" s="34">
        <v>60601</v>
      </c>
      <c r="C102" s="1" t="s">
        <v>106</v>
      </c>
      <c r="D102" s="35">
        <v>46122</v>
      </c>
    </row>
    <row r="103" spans="1:4" x14ac:dyDescent="0.25">
      <c r="A103" s="1">
        <v>102</v>
      </c>
      <c r="B103" s="34">
        <v>60602</v>
      </c>
      <c r="C103" s="1" t="s">
        <v>106</v>
      </c>
      <c r="D103" s="35">
        <v>46122</v>
      </c>
    </row>
    <row r="104" spans="1:4" x14ac:dyDescent="0.25">
      <c r="A104" s="1">
        <v>103</v>
      </c>
      <c r="B104" s="34">
        <v>60603</v>
      </c>
      <c r="C104" s="1" t="s">
        <v>106</v>
      </c>
      <c r="D104" s="35">
        <v>46122</v>
      </c>
    </row>
    <row r="105" spans="1:4" x14ac:dyDescent="0.25">
      <c r="A105" s="1">
        <v>104</v>
      </c>
      <c r="B105" s="34">
        <v>60604</v>
      </c>
      <c r="C105" s="1" t="s">
        <v>106</v>
      </c>
      <c r="D105" s="35">
        <v>46122</v>
      </c>
    </row>
    <row r="106" spans="1:4" x14ac:dyDescent="0.25">
      <c r="A106" s="1">
        <v>105</v>
      </c>
      <c r="B106" s="34">
        <v>60605</v>
      </c>
      <c r="C106" s="1" t="s">
        <v>106</v>
      </c>
      <c r="D106" s="35">
        <v>46129</v>
      </c>
    </row>
    <row r="107" spans="1:4" x14ac:dyDescent="0.25">
      <c r="A107" s="1">
        <v>106</v>
      </c>
      <c r="B107" s="34">
        <v>60606</v>
      </c>
      <c r="C107" s="1" t="s">
        <v>106</v>
      </c>
      <c r="D107" s="35">
        <v>46129</v>
      </c>
    </row>
    <row r="108" spans="1:4" x14ac:dyDescent="0.25">
      <c r="A108" s="1">
        <v>107</v>
      </c>
      <c r="B108" s="34">
        <v>60607</v>
      </c>
      <c r="C108" s="1" t="s">
        <v>106</v>
      </c>
      <c r="D108" s="35">
        <v>46129</v>
      </c>
    </row>
    <row r="109" spans="1:4" x14ac:dyDescent="0.25">
      <c r="A109" s="1">
        <v>108</v>
      </c>
      <c r="B109" s="34">
        <v>60608</v>
      </c>
      <c r="C109" s="1" t="s">
        <v>106</v>
      </c>
      <c r="D109" s="35">
        <v>46129</v>
      </c>
    </row>
    <row r="110" spans="1:4" x14ac:dyDescent="0.25">
      <c r="A110" s="1">
        <v>109</v>
      </c>
      <c r="B110" s="34">
        <v>60609</v>
      </c>
      <c r="C110" s="1" t="s">
        <v>106</v>
      </c>
      <c r="D110" s="35">
        <v>46134</v>
      </c>
    </row>
    <row r="111" spans="1:4" x14ac:dyDescent="0.25">
      <c r="A111" s="1">
        <v>110</v>
      </c>
      <c r="B111" s="34">
        <v>60610</v>
      </c>
      <c r="C111" s="1" t="s">
        <v>106</v>
      </c>
      <c r="D111" s="35">
        <v>46134</v>
      </c>
    </row>
    <row r="112" spans="1:4" x14ac:dyDescent="0.25">
      <c r="A112" s="1">
        <v>111</v>
      </c>
      <c r="B112" s="34">
        <v>60611</v>
      </c>
      <c r="C112" s="1" t="s">
        <v>106</v>
      </c>
      <c r="D112" s="35">
        <v>46155</v>
      </c>
    </row>
    <row r="113" spans="1:4" x14ac:dyDescent="0.25">
      <c r="A113" s="1">
        <v>112</v>
      </c>
      <c r="B113" s="34">
        <v>60612</v>
      </c>
      <c r="C113" s="1" t="s">
        <v>106</v>
      </c>
      <c r="D113" s="35">
        <v>46155</v>
      </c>
    </row>
    <row r="114" spans="1:4" x14ac:dyDescent="0.25">
      <c r="A114" s="1">
        <v>113</v>
      </c>
      <c r="B114" s="34">
        <v>60613</v>
      </c>
      <c r="C114" s="1" t="s">
        <v>106</v>
      </c>
      <c r="D114" s="35">
        <v>46155</v>
      </c>
    </row>
    <row r="115" spans="1:4" x14ac:dyDescent="0.25">
      <c r="A115" s="1">
        <v>114</v>
      </c>
      <c r="B115" s="34">
        <v>60614</v>
      </c>
      <c r="C115" s="1" t="s">
        <v>106</v>
      </c>
      <c r="D115" s="35">
        <v>46155</v>
      </c>
    </row>
    <row r="116" spans="1:4" x14ac:dyDescent="0.25">
      <c r="A116" s="1">
        <v>115</v>
      </c>
      <c r="B116" s="34">
        <v>60615</v>
      </c>
      <c r="C116" s="1" t="s">
        <v>106</v>
      </c>
      <c r="D116" s="35">
        <v>46162</v>
      </c>
    </row>
    <row r="117" spans="1:4" x14ac:dyDescent="0.25">
      <c r="A117" s="1">
        <v>116</v>
      </c>
      <c r="B117" s="34">
        <v>60616</v>
      </c>
      <c r="C117" s="1" t="s">
        <v>106</v>
      </c>
      <c r="D117" s="35">
        <v>46162</v>
      </c>
    </row>
    <row r="118" spans="1:4" x14ac:dyDescent="0.25">
      <c r="A118" s="1">
        <v>117</v>
      </c>
      <c r="B118" s="34">
        <v>60617</v>
      </c>
      <c r="C118" s="1" t="s">
        <v>106</v>
      </c>
      <c r="D118" s="35">
        <v>46162</v>
      </c>
    </row>
    <row r="119" spans="1:4" x14ac:dyDescent="0.25">
      <c r="A119" s="1">
        <v>118</v>
      </c>
      <c r="B119" s="34">
        <v>60618</v>
      </c>
      <c r="C119" s="1" t="s">
        <v>106</v>
      </c>
      <c r="D119" s="35">
        <v>46162</v>
      </c>
    </row>
    <row r="120" spans="1:4" x14ac:dyDescent="0.25">
      <c r="A120" s="1">
        <v>119</v>
      </c>
      <c r="B120" s="34">
        <v>60619</v>
      </c>
      <c r="C120" s="1" t="s">
        <v>106</v>
      </c>
      <c r="D120" s="35">
        <v>46163</v>
      </c>
    </row>
    <row r="121" spans="1:4" x14ac:dyDescent="0.25">
      <c r="A121" s="1">
        <v>120</v>
      </c>
      <c r="B121" s="34">
        <v>60620</v>
      </c>
      <c r="C121" s="1" t="s">
        <v>106</v>
      </c>
      <c r="D121" s="35">
        <v>46163</v>
      </c>
    </row>
    <row r="122" spans="1:4" x14ac:dyDescent="0.25">
      <c r="A122" s="1">
        <v>121</v>
      </c>
      <c r="B122" s="34">
        <v>60621</v>
      </c>
      <c r="C122" s="1" t="s">
        <v>106</v>
      </c>
      <c r="D122" s="29">
        <v>46175</v>
      </c>
    </row>
    <row r="123" spans="1:4" x14ac:dyDescent="0.25">
      <c r="A123" s="1">
        <v>122</v>
      </c>
      <c r="B123" s="34">
        <v>60622</v>
      </c>
      <c r="C123" s="1" t="s">
        <v>106</v>
      </c>
      <c r="D123" s="29">
        <v>46175</v>
      </c>
    </row>
    <row r="124" spans="1:4" x14ac:dyDescent="0.25">
      <c r="A124" s="1">
        <v>123</v>
      </c>
      <c r="B124" s="34">
        <v>60623</v>
      </c>
      <c r="C124" s="1" t="s">
        <v>106</v>
      </c>
      <c r="D124" s="29">
        <v>46183</v>
      </c>
    </row>
    <row r="125" spans="1:4" x14ac:dyDescent="0.25">
      <c r="A125" s="1">
        <v>124</v>
      </c>
      <c r="B125" s="34">
        <v>60624</v>
      </c>
      <c r="C125" s="1" t="s">
        <v>106</v>
      </c>
      <c r="D125" s="29">
        <v>46183</v>
      </c>
    </row>
    <row r="126" spans="1:4" x14ac:dyDescent="0.25">
      <c r="A126" s="1">
        <v>125</v>
      </c>
      <c r="B126" s="34">
        <v>60625</v>
      </c>
      <c r="C126" s="1" t="s">
        <v>106</v>
      </c>
      <c r="D126" s="29">
        <v>46183</v>
      </c>
    </row>
    <row r="127" spans="1:4" x14ac:dyDescent="0.25">
      <c r="A127" s="1">
        <v>126</v>
      </c>
      <c r="B127" s="34">
        <v>60626</v>
      </c>
      <c r="C127" s="1" t="s">
        <v>106</v>
      </c>
      <c r="D127" s="29">
        <v>46183</v>
      </c>
    </row>
    <row r="128" spans="1:4" x14ac:dyDescent="0.25">
      <c r="A128" s="44">
        <v>127</v>
      </c>
      <c r="B128" s="34">
        <v>60627</v>
      </c>
      <c r="C128" s="1" t="s">
        <v>106</v>
      </c>
      <c r="D128" s="8"/>
    </row>
    <row r="129" spans="1:4" x14ac:dyDescent="0.25">
      <c r="A129" s="44">
        <v>128</v>
      </c>
      <c r="B129" s="34">
        <v>60628</v>
      </c>
      <c r="C129" s="1" t="s">
        <v>106</v>
      </c>
      <c r="D129" s="8"/>
    </row>
    <row r="130" spans="1:4" x14ac:dyDescent="0.25">
      <c r="A130" s="44">
        <v>129</v>
      </c>
      <c r="B130" s="34">
        <v>60629</v>
      </c>
      <c r="C130" s="1" t="s">
        <v>106</v>
      </c>
      <c r="D130" s="8"/>
    </row>
    <row r="131" spans="1:4" x14ac:dyDescent="0.25">
      <c r="A131" s="44">
        <v>130</v>
      </c>
      <c r="B131" s="34">
        <v>60630</v>
      </c>
      <c r="C131" s="1" t="s">
        <v>106</v>
      </c>
      <c r="D131" s="8"/>
    </row>
  </sheetData>
  <autoFilter ref="A1:D1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J24" sqref="J24"/>
    </sheetView>
  </sheetViews>
  <sheetFormatPr defaultRowHeight="15" x14ac:dyDescent="0.25"/>
  <cols>
    <col min="4" max="4" width="10.42578125" bestFit="1" customWidth="1"/>
  </cols>
  <sheetData>
    <row r="1" spans="1:4" ht="15.75" thickBot="1" x14ac:dyDescent="0.3">
      <c r="A1" t="s">
        <v>110</v>
      </c>
      <c r="B1" t="s">
        <v>111</v>
      </c>
      <c r="C1" t="s">
        <v>112</v>
      </c>
      <c r="D1" t="s">
        <v>2</v>
      </c>
    </row>
    <row r="2" spans="1:4" ht="15.75" thickBot="1" x14ac:dyDescent="0.3">
      <c r="A2" s="38">
        <v>1</v>
      </c>
      <c r="B2" s="39">
        <v>30502</v>
      </c>
      <c r="C2" s="31" t="s">
        <v>109</v>
      </c>
      <c r="D2" s="40">
        <v>42750</v>
      </c>
    </row>
    <row r="3" spans="1:4" ht="15.75" thickBot="1" x14ac:dyDescent="0.3">
      <c r="A3" s="41">
        <v>2</v>
      </c>
      <c r="B3" s="42">
        <v>30569</v>
      </c>
      <c r="C3" s="32" t="s">
        <v>109</v>
      </c>
      <c r="D3" s="43">
        <v>43042</v>
      </c>
    </row>
    <row r="4" spans="1:4" ht="15.75" thickBot="1" x14ac:dyDescent="0.3">
      <c r="A4" s="41">
        <v>3</v>
      </c>
      <c r="B4" s="42">
        <v>37888</v>
      </c>
      <c r="C4" s="32" t="s">
        <v>109</v>
      </c>
      <c r="D4" s="43">
        <v>45852</v>
      </c>
    </row>
    <row r="5" spans="1:4" ht="15.75" thickBot="1" x14ac:dyDescent="0.3">
      <c r="A5" s="41">
        <v>4</v>
      </c>
      <c r="B5" s="42">
        <v>37933</v>
      </c>
      <c r="C5" s="32" t="s">
        <v>109</v>
      </c>
      <c r="D5" s="43">
        <v>45980</v>
      </c>
    </row>
    <row r="6" spans="1:4" ht="15.75" thickBot="1" x14ac:dyDescent="0.3">
      <c r="A6" s="41">
        <v>5</v>
      </c>
      <c r="B6" s="42">
        <v>39528</v>
      </c>
      <c r="C6" s="32" t="s">
        <v>109</v>
      </c>
      <c r="D6" s="43">
        <v>45934</v>
      </c>
    </row>
    <row r="7" spans="1:4" ht="15.75" thickBot="1" x14ac:dyDescent="0.3">
      <c r="A7" s="41">
        <v>6</v>
      </c>
      <c r="B7" s="42">
        <v>39561</v>
      </c>
      <c r="C7" s="32" t="s">
        <v>109</v>
      </c>
      <c r="D7" s="43">
        <v>46011</v>
      </c>
    </row>
    <row r="8" spans="1:4" ht="15.75" thickBot="1" x14ac:dyDescent="0.3">
      <c r="A8" s="41">
        <v>7</v>
      </c>
      <c r="B8" s="42">
        <v>39562</v>
      </c>
      <c r="C8" s="32" t="s">
        <v>109</v>
      </c>
      <c r="D8" s="43">
        <v>46018</v>
      </c>
    </row>
    <row r="9" spans="1:4" ht="15.75" thickBot="1" x14ac:dyDescent="0.3">
      <c r="A9" s="41">
        <v>8</v>
      </c>
      <c r="B9" s="42">
        <v>39563</v>
      </c>
      <c r="C9" s="32" t="s">
        <v>109</v>
      </c>
      <c r="D9" s="43">
        <v>46019</v>
      </c>
    </row>
    <row r="10" spans="1:4" ht="15.75" thickBot="1" x14ac:dyDescent="0.3">
      <c r="A10" s="41">
        <v>9</v>
      </c>
      <c r="B10" s="42">
        <v>39564</v>
      </c>
      <c r="C10" s="32" t="s">
        <v>109</v>
      </c>
      <c r="D10" s="43">
        <v>46019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G25" sqref="G25"/>
    </sheetView>
  </sheetViews>
  <sheetFormatPr defaultRowHeight="15" x14ac:dyDescent="0.25"/>
  <cols>
    <col min="3" max="3" width="10.42578125" bestFit="1" customWidth="1"/>
    <col min="4" max="4" width="18" bestFit="1" customWidth="1"/>
  </cols>
  <sheetData>
    <row r="1" spans="1:4" x14ac:dyDescent="0.25">
      <c r="A1" s="48" t="s">
        <v>26</v>
      </c>
      <c r="B1" s="48"/>
      <c r="C1" s="48"/>
      <c r="D1" s="48"/>
    </row>
    <row r="2" spans="1:4" x14ac:dyDescent="0.25">
      <c r="A2" s="9" t="s">
        <v>0</v>
      </c>
      <c r="B2" s="2" t="s">
        <v>1</v>
      </c>
      <c r="C2" s="2" t="s">
        <v>2</v>
      </c>
      <c r="D2" s="1" t="s">
        <v>14</v>
      </c>
    </row>
    <row r="3" spans="1:4" x14ac:dyDescent="0.25">
      <c r="A3" s="10">
        <v>1</v>
      </c>
      <c r="B3" s="10">
        <v>13271</v>
      </c>
      <c r="C3" s="11">
        <v>38855</v>
      </c>
      <c r="D3" s="1" t="s">
        <v>3</v>
      </c>
    </row>
    <row r="4" spans="1:4" x14ac:dyDescent="0.25">
      <c r="A4" s="10">
        <v>2</v>
      </c>
      <c r="B4" s="10">
        <v>13289</v>
      </c>
      <c r="C4" s="11">
        <v>38943</v>
      </c>
      <c r="D4" s="1" t="s">
        <v>16</v>
      </c>
    </row>
    <row r="5" spans="1:4" x14ac:dyDescent="0.25">
      <c r="A5" s="10">
        <v>3</v>
      </c>
      <c r="B5" s="10">
        <v>13290</v>
      </c>
      <c r="C5" s="11">
        <v>38958</v>
      </c>
      <c r="D5" s="1" t="s">
        <v>16</v>
      </c>
    </row>
    <row r="6" spans="1:4" x14ac:dyDescent="0.25">
      <c r="A6" s="10">
        <v>4</v>
      </c>
      <c r="B6" s="10">
        <v>13291</v>
      </c>
      <c r="C6" s="11">
        <v>38963</v>
      </c>
      <c r="D6" s="1" t="s">
        <v>17</v>
      </c>
    </row>
    <row r="7" spans="1:4" x14ac:dyDescent="0.25">
      <c r="A7" s="10">
        <v>5</v>
      </c>
      <c r="B7" s="10">
        <v>13292</v>
      </c>
      <c r="C7" s="11">
        <v>38974</v>
      </c>
      <c r="D7" s="1" t="s">
        <v>17</v>
      </c>
    </row>
    <row r="8" spans="1:4" x14ac:dyDescent="0.25">
      <c r="A8" s="10">
        <v>6</v>
      </c>
      <c r="B8" s="10">
        <v>13301</v>
      </c>
      <c r="C8" s="11">
        <v>38985</v>
      </c>
      <c r="D8" s="1" t="s">
        <v>17</v>
      </c>
    </row>
    <row r="9" spans="1:4" x14ac:dyDescent="0.25">
      <c r="A9" s="10">
        <v>7</v>
      </c>
      <c r="B9" s="10">
        <v>13455</v>
      </c>
      <c r="C9" s="11">
        <v>39687</v>
      </c>
      <c r="D9" s="1" t="s">
        <v>8</v>
      </c>
    </row>
    <row r="10" spans="1:4" x14ac:dyDescent="0.25">
      <c r="A10" s="10">
        <v>8</v>
      </c>
      <c r="B10" s="10">
        <v>13474</v>
      </c>
      <c r="C10" s="11">
        <v>39734</v>
      </c>
      <c r="D10" s="1" t="s">
        <v>9</v>
      </c>
    </row>
    <row r="11" spans="1:4" x14ac:dyDescent="0.25">
      <c r="A11" s="10">
        <v>9</v>
      </c>
      <c r="B11" s="10">
        <v>13529</v>
      </c>
      <c r="C11" s="11">
        <v>39884</v>
      </c>
      <c r="D11" s="1" t="s">
        <v>10</v>
      </c>
    </row>
    <row r="12" spans="1:4" x14ac:dyDescent="0.25">
      <c r="A12" s="10">
        <v>10</v>
      </c>
      <c r="B12" s="10">
        <v>13530</v>
      </c>
      <c r="C12" s="11">
        <v>39893</v>
      </c>
      <c r="D12" s="1" t="s">
        <v>10</v>
      </c>
    </row>
    <row r="13" spans="1:4" x14ac:dyDescent="0.25">
      <c r="A13" s="10">
        <v>11</v>
      </c>
      <c r="B13" s="10">
        <v>13545</v>
      </c>
      <c r="C13" s="11">
        <v>39989</v>
      </c>
      <c r="D13" s="1" t="s">
        <v>18</v>
      </c>
    </row>
    <row r="14" spans="1:4" x14ac:dyDescent="0.25">
      <c r="A14" s="10">
        <v>12</v>
      </c>
      <c r="B14" s="10">
        <v>14765</v>
      </c>
      <c r="C14" s="11">
        <v>36367</v>
      </c>
      <c r="D14" s="1" t="s">
        <v>19</v>
      </c>
    </row>
    <row r="15" spans="1:4" x14ac:dyDescent="0.25">
      <c r="A15" s="10">
        <v>13</v>
      </c>
      <c r="B15" s="10">
        <v>14905</v>
      </c>
      <c r="C15" s="11">
        <v>36833</v>
      </c>
      <c r="D15" s="1" t="s">
        <v>20</v>
      </c>
    </row>
    <row r="16" spans="1:4" x14ac:dyDescent="0.25">
      <c r="A16" s="10">
        <v>14</v>
      </c>
      <c r="B16" s="10">
        <v>36152</v>
      </c>
      <c r="C16" s="11">
        <v>32538</v>
      </c>
      <c r="D16" s="1" t="s">
        <v>21</v>
      </c>
    </row>
    <row r="17" spans="1:4" x14ac:dyDescent="0.25">
      <c r="A17" s="10">
        <v>15</v>
      </c>
      <c r="B17" s="10">
        <v>36165</v>
      </c>
      <c r="C17" s="11">
        <v>32917</v>
      </c>
      <c r="D17" s="1" t="s">
        <v>11</v>
      </c>
    </row>
    <row r="18" spans="1:4" x14ac:dyDescent="0.25">
      <c r="A18" s="4">
        <v>16</v>
      </c>
      <c r="B18" s="4">
        <v>36197</v>
      </c>
      <c r="C18" s="12">
        <v>33609</v>
      </c>
      <c r="D18" s="1" t="s">
        <v>22</v>
      </c>
    </row>
    <row r="21" spans="1:4" x14ac:dyDescent="0.25">
      <c r="A21" s="30">
        <v>17</v>
      </c>
      <c r="B21" s="30">
        <v>13293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Alco</vt:lpstr>
      <vt:lpstr>MG ALCO</vt:lpstr>
      <vt:lpstr>hhp</vt:lpstr>
      <vt:lpstr>Wag9hc</vt:lpstr>
      <vt:lpstr>wag12b</vt:lpstr>
      <vt:lpstr>wap7</vt:lpstr>
      <vt:lpstr>GIM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2026-02-04T04:47:11Z</dcterms:created>
  <dcterms:modified xsi:type="dcterms:W3CDTF">2026-07-12T16:38:41Z</dcterms:modified>
</cp:coreProperties>
</file>